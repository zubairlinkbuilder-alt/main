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y List" sheetId="2" state="visible" r:id="rId4"/>
    <sheet name="Placements" sheetId="3" state="visible" r:id="rId5"/>
    <sheet name="Plan Pages (links)" sheetId="4" state="visible" r:id="rId6"/>
  </sheets>
  <definedNames>
    <definedName function="false" hidden="true" localSheetId="1" name="_xlnm._FilterDatabase" vbProcedure="false">'Buy List'!$A$1:$J$91</definedName>
    <definedName function="false" hidden="true" localSheetId="2" name="_xlnm._FilterDatabase" vbProcedure="false">Placements!$A$1:$L$155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Hardcoded from Gym Visual's price-rules page.</t>
        </r>
      </text>
    </comment>
  </commentList>
</comments>
</file>

<file path=xl/sharedStrings.xml><?xml version="1.0" encoding="utf-8"?>
<sst xmlns="http://schemas.openxmlformats.org/spreadsheetml/2006/main" count="2060" uniqueCount="717">
  <si>
    <t xml:space="preserve">ExerciseMenu: GIF purchase and placement plan</t>
  </si>
  <si>
    <t xml:space="preserve">Built from all 115 posts in exercisemenu.com/post-sitemap.xml, scanned 17 Oct 2026.</t>
  </si>
  <si>
    <t xml:space="preserve">Gym Visual price per GIF (1–9 in cart)</t>
  </si>
  <si>
    <t xml:space="preserve">Source: gymvisual.com/content/6-price-rules (table was hard to read; confirm at checkout).</t>
  </si>
  <si>
    <t xml:space="preserve">Gym Visual price per GIF (10+ in cart)</t>
  </si>
  <si>
    <t xml:space="preserve">Same source. Change these yellow cells if checkout shows a different price.</t>
  </si>
  <si>
    <t xml:space="preserve">Cart size where the lower price starts</t>
  </si>
  <si>
    <t xml:space="preserve">Same source.</t>
  </si>
  <si>
    <t xml:space="preserve">Batch (buy in this order)</t>
  </si>
  <si>
    <t xml:space="preserve">GIFs</t>
  </si>
  <si>
    <t xml:space="preserve">Cost ($)</t>
  </si>
  <si>
    <t xml:space="preserve">1. Replaces a WRONG image</t>
  </si>
  <si>
    <t xml:space="preserve">2. Used on 2+ pages</t>
  </si>
  <si>
    <t xml:space="preserve">3. Finish Beginners + Ab articles</t>
  </si>
  <si>
    <t xml:space="preserve">4. Rest of medicine ball cluster</t>
  </si>
  <si>
    <t xml:space="preserve">5. Squat &amp; deadlift guides</t>
  </si>
  <si>
    <t xml:space="preserve">6. Cable chest &amp; dumbbell guide</t>
  </si>
  <si>
    <t xml:space="preserve">Total</t>
  </si>
  <si>
    <t xml:space="preserve">Bought so far</t>
  </si>
  <si>
    <t xml:space="preserve">Placements by action</t>
  </si>
  <si>
    <t xml:space="preserve">Images</t>
  </si>
  <si>
    <t xml:space="preserve">Replace image with GIF</t>
  </si>
  <si>
    <t xml:space="preserve">Add GIF beside image</t>
  </si>
  <si>
    <t xml:space="preserve">Add GIF (no image now)</t>
  </si>
  <si>
    <t xml:space="preserve">Keep image</t>
  </si>
  <si>
    <t xml:space="preserve">Already a GIF (reuse)</t>
  </si>
  <si>
    <t xml:space="preserve">Fix or regenerate image (no GIF)</t>
  </si>
  <si>
    <t xml:space="preserve">Image check</t>
  </si>
  <si>
    <t xml:space="preserve">OK</t>
  </si>
  <si>
    <t xml:space="preserve">Minor issue</t>
  </si>
  <si>
    <t xml:space="preserve">WRONG</t>
  </si>
  <si>
    <t xml:space="preserve">Notes</t>
  </si>
  <si>
    <t xml:space="preserve">How to use</t>
  </si>
  <si>
    <t xml:space="preserve">1) Buy from the Buy List top to bottom; one GIF serves every article in its row. 2) Mark Bought = Y (yellow column). 3) Use the Placements sheet to put each GIF in the right article, section and position.</t>
  </si>
  <si>
    <t xml:space="preserve">Yellow cells</t>
  </si>
  <si>
    <t xml:space="preserve">The only cells to edit: prices on this sheet and the Bought column on the Buy List. Everything else is calculated.</t>
  </si>
  <si>
    <t xml:space="preserve">Gym Visual IDs</t>
  </si>
  <si>
    <t xml:space="preserve">Only 6 IDs were found (gymvisual.com is blocked in this session). For the rest, search the exercise name on gymvisual.com and type the ID in.</t>
  </si>
  <si>
    <t xml:space="preserve">Already GIFs</t>
  </si>
  <si>
    <t xml:space="preserve">front-squat-vs-back-squat and high-bar-vs-low-bar-squat already use animated GIFs with good form, and the beginners article's slam, overhead press and Russian twist are video GIFs of 7-8 MB each. No purchase needed: convert those three to MP4.</t>
  </si>
  <si>
    <t xml:space="preserve">Partner &amp; kids pages</t>
  </si>
  <si>
    <t xml:space="preserve">Kept on purpose: Gym Visual animates one person, and the kids page shows a child. Replace only if an image shows wrong form.</t>
  </si>
  <si>
    <t xml:space="preserve">All images were viewed one by one (17 Oct 2026). WRONG = shows the wrong exercise, impossible position, or garbled text: fix these first. Minor = text/label slips; fix when editing the article.</t>
  </si>
  <si>
    <t xml:space="preserve">Infographics kept</t>
  </si>
  <si>
    <t xml:space="preserve">Most medicine ball images are branded ExerciseMenu infographics with cues and do/don't panels, which competitors don't have. They are kept; the GIF is added above them.</t>
  </si>
  <si>
    <t xml:space="preserve">First purchase list</t>
  </si>
  <si>
    <t xml:space="preserve">Backward throw, rotational throw and plain crunch from the first 12-GIF list are on no page, so they are not here.</t>
  </si>
  <si>
    <t xml:space="preserve">Buy #</t>
  </si>
  <si>
    <t xml:space="preserve">Batch</t>
  </si>
  <si>
    <t xml:space="preserve">Exercise (GIF to buy)</t>
  </si>
  <si>
    <t xml:space="preserve">Gym Visual ID</t>
  </si>
  <si>
    <t xml:space="preserve">Gym Visual link / title to search</t>
  </si>
  <si>
    <t xml:space="preserve">Placements on site</t>
  </si>
  <si>
    <t xml:space="preserve">Articles it goes in</t>
  </si>
  <si>
    <t xml:space="preserve">Price per GIF ($)</t>
  </si>
  <si>
    <t xml:space="preserve">Bought? (Y/N)</t>
  </si>
  <si>
    <t xml:space="preserve">Dumbbell Sumo Squat</t>
  </si>
  <si>
    <t xml:space="preserve">not found yet</t>
  </si>
  <si>
    <t xml:space="preserve">Search: Dumbbell Sumo Squat</t>
  </si>
  <si>
    <t xml:space="preserve">/dumbbell-sumo-squat/, /types-of-squats/</t>
  </si>
  <si>
    <t xml:space="preserve">Medicine Ball Forward Lunge with Twist</t>
  </si>
  <si>
    <t xml:space="preserve">Search: Medicine Ball Forward Lunge with Twist</t>
  </si>
  <si>
    <t xml:space="preserve">/exercises-with-a-medicine-ball-for-beginners/, /10-medicine-ball-exercises-for-legs/</t>
  </si>
  <si>
    <t xml:space="preserve">Medicine Ball Glute Bridge</t>
  </si>
  <si>
    <t xml:space="preserve">Search: Medicine Ball Glute Bridge</t>
  </si>
  <si>
    <t xml:space="preserve">Medicine Ball Dead Bug</t>
  </si>
  <si>
    <t xml:space="preserve">10176</t>
  </si>
  <si>
    <t xml:space="preserve">https://gymvisual.com/animated-gifs/10176-dead-bug-with-medicine-ball-male.html</t>
  </si>
  <si>
    <t xml:space="preserve">/medicine-ball-ab-exercises/, /medicine-ball-exercises-for-lower-abs/</t>
  </si>
  <si>
    <t xml:space="preserve">Medicine Ball Leg Raise</t>
  </si>
  <si>
    <t xml:space="preserve">13026</t>
  </si>
  <si>
    <t xml:space="preserve">https://gymvisual.com/animated-gifs/13026-medicine-ball-lying-leg-raise.html</t>
  </si>
  <si>
    <t xml:space="preserve">Medicine Ball Lying Triceps Press</t>
  </si>
  <si>
    <t xml:space="preserve">Search: Medicine Ball Lying Triceps Press</t>
  </si>
  <si>
    <t xml:space="preserve">/10-medicine-ball-exercises-for-arms/</t>
  </si>
  <si>
    <t xml:space="preserve">Medicine Ball Single-Arm Shoulder Press</t>
  </si>
  <si>
    <t xml:space="preserve">Search: Medicine Ball Single-Arm Shoulder Press</t>
  </si>
  <si>
    <t xml:space="preserve">Cable Crossover</t>
  </si>
  <si>
    <t xml:space="preserve">Search: Cable Crossover</t>
  </si>
  <si>
    <t xml:space="preserve">/cable-chest-exercises-10-best-moves/</t>
  </si>
  <si>
    <t xml:space="preserve">Dumbbell Shoulder Press</t>
  </si>
  <si>
    <t xml:space="preserve">Search: Dumbbell Shoulder Press</t>
  </si>
  <si>
    <t xml:space="preserve">/how-to-train-deltoids-and-biceps-with-dumbbells/</t>
  </si>
  <si>
    <t xml:space="preserve">Sumo Deadlift</t>
  </si>
  <si>
    <t xml:space="preserve">Search: Sumo Deadlift</t>
  </si>
  <si>
    <t xml:space="preserve">/sumo-vs-conventional-deadlift/</t>
  </si>
  <si>
    <t xml:space="preserve">Medicine Ball Slam</t>
  </si>
  <si>
    <t xml:space="preserve">3125</t>
  </si>
  <si>
    <t xml:space="preserve">https://gymvisual.com/animated-gifs/3125-medicine-ball-overhead-slam.html</t>
  </si>
  <si>
    <t xml:space="preserve">/10-medicine-ball-exercises-for-back/, /10-medicine-ball-exercises-for-arms/, /medicine-ball-exercises-for-shoulders/</t>
  </si>
  <si>
    <t xml:space="preserve">Medicine Ball Push-Up (hands on ball)</t>
  </si>
  <si>
    <t xml:space="preserve">Search: Medicine Ball Close Grip Push Up</t>
  </si>
  <si>
    <t xml:space="preserve">/exercises-with-a-medicine-ball-for-beginners/, /10-medicine-ball-chest-exercises/, /medicine-ball-exercises-for-shoulders/</t>
  </si>
  <si>
    <t xml:space="preserve">Medicine Ball V-Up</t>
  </si>
  <si>
    <t xml:space="preserve">Search: Medicine Ball V-Up</t>
  </si>
  <si>
    <t xml:space="preserve">/exercises-with-a-medicine-ball-for-beginners/, /medicine-ball-ab-exercises/, /medicine-ball-exercises-for-lower-abs/</t>
  </si>
  <si>
    <t xml:space="preserve">Medicine Ball Bent-Over Row</t>
  </si>
  <si>
    <t xml:space="preserve">Search: Medicine Ball Bent-Over Row</t>
  </si>
  <si>
    <t xml:space="preserve">/10-medicine-ball-exercises-for-back/, /10-medicine-ball-exercises-for-arms/</t>
  </si>
  <si>
    <t xml:space="preserve">Medicine Ball Halo</t>
  </si>
  <si>
    <t xml:space="preserve">Search: Medicine Ball Halo</t>
  </si>
  <si>
    <t xml:space="preserve">/10-medicine-ball-exercises-for-back/, /medicine-ball-exercises-for-shoulders/</t>
  </si>
  <si>
    <t xml:space="preserve">Medicine Ball Chest Pass (wall)</t>
  </si>
  <si>
    <t xml:space="preserve">13860</t>
  </si>
  <si>
    <t xml:space="preserve">https://gymvisual.com/animated-gifs/13860-medicine-ball-chest-pass-against-wall.html</t>
  </si>
  <si>
    <t xml:space="preserve">/exercises-with-a-medicine-ball-for-beginners/, /10-medicine-ball-chest-exercises/</t>
  </si>
  <si>
    <t xml:space="preserve">Medicine Ball Wood Chop</t>
  </si>
  <si>
    <t xml:space="preserve">Search: Medicine Ball Reverse Wood Chop Squat (check it matches)</t>
  </si>
  <si>
    <t xml:space="preserve">/exercises-with-a-medicine-ball-for-beginners/, /medicine-ball-ab-exercises/</t>
  </si>
  <si>
    <t xml:space="preserve">Medicine Ball Reverse Crunch</t>
  </si>
  <si>
    <t xml:space="preserve">Search: Medicine Ball Reverse Crunch</t>
  </si>
  <si>
    <t xml:space="preserve">Medicine Ball Plank Pass</t>
  </si>
  <si>
    <t xml:space="preserve">Search: Medicine Ball Plank Pass</t>
  </si>
  <si>
    <t xml:space="preserve">/exercises-with-a-medicine-ball-for-beginners/</t>
  </si>
  <si>
    <t xml:space="preserve">Medicine Ball Romanian Deadlift</t>
  </si>
  <si>
    <t xml:space="preserve">Search: Medicine Ball Romanian Deadlift</t>
  </si>
  <si>
    <t xml:space="preserve">Medicine Ball Squat to Overhead Press</t>
  </si>
  <si>
    <t xml:space="preserve">Search: Medicine Ball Squat to Overhead Press</t>
  </si>
  <si>
    <t xml:space="preserve">Medicine Ball Plank (hands on ball)</t>
  </si>
  <si>
    <t xml:space="preserve">Search: Medicine Ball Plank (hands on ball)</t>
  </si>
  <si>
    <t xml:space="preserve">/medicine-ball-ab-exercises/</t>
  </si>
  <si>
    <t xml:space="preserve">Medicine Ball Rotational Slam</t>
  </si>
  <si>
    <t xml:space="preserve">Search: Medicine Ball Rotational Slam</t>
  </si>
  <si>
    <t xml:space="preserve">Medicine Ball Russian Twist</t>
  </si>
  <si>
    <t xml:space="preserve">2691</t>
  </si>
  <si>
    <t xml:space="preserve">https://gymvisual.com/animated-gifs/2691-russian-twist-with-medicine-ball.html</t>
  </si>
  <si>
    <t xml:space="preserve">Medicine Ball Sit-Up</t>
  </si>
  <si>
    <t xml:space="preserve">Search: Medicine Ball Sit up (wall) - check variation</t>
  </si>
  <si>
    <t xml:space="preserve">Medicine Ball Table Top Crunch</t>
  </si>
  <si>
    <t xml:space="preserve">Search: Medicine Ball Table Top Crunch</t>
  </si>
  <si>
    <t xml:space="preserve">Medicine Ball Floor Press</t>
  </si>
  <si>
    <t xml:space="preserve">Search: Medicine Ball Floor Press</t>
  </si>
  <si>
    <t xml:space="preserve">/10-medicine-ball-chest-exercises/</t>
  </si>
  <si>
    <t xml:space="preserve">Medicine Ball Incline Push-Up</t>
  </si>
  <si>
    <t xml:space="preserve">Search: Medicine Ball Incline Push-Up</t>
  </si>
  <si>
    <t xml:space="preserve">Medicine Ball Lying Chest Toss</t>
  </si>
  <si>
    <t xml:space="preserve">Search: Medicine Ball Lying Chest Toss</t>
  </si>
  <si>
    <t xml:space="preserve">Medicine Ball Plyometric Push-Up</t>
  </si>
  <si>
    <t xml:space="preserve">Search: Medicine Ball Plyometric Push-Up</t>
  </si>
  <si>
    <t xml:space="preserve">Medicine Ball Rolling Push-Up</t>
  </si>
  <si>
    <t xml:space="preserve">Search: Medicine Ball Rolling Push-Up</t>
  </si>
  <si>
    <t xml:space="preserve">Medicine Ball Squat to Chest Press</t>
  </si>
  <si>
    <t xml:space="preserve">Search: Medicine Ball Squat to Chest Press</t>
  </si>
  <si>
    <t xml:space="preserve">Medicine Ball Staggered Push-Up</t>
  </si>
  <si>
    <t xml:space="preserve">Search: Medicine Ball Staggered Push-Up</t>
  </si>
  <si>
    <t xml:space="preserve">Medicine Ball Arm Circles</t>
  </si>
  <si>
    <t xml:space="preserve">Search: Medicine Ball Arm Circles</t>
  </si>
  <si>
    <t xml:space="preserve">Medicine Ball Biceps Curl</t>
  </si>
  <si>
    <t xml:space="preserve">Search: Medicine Ball Biceps Curl</t>
  </si>
  <si>
    <t xml:space="preserve">Medicine Ball Curl and Press</t>
  </si>
  <si>
    <t xml:space="preserve">Search: Medicine Ball Curl and Press</t>
  </si>
  <si>
    <t xml:space="preserve">Medicine Ball Overhead Triceps Extension</t>
  </si>
  <si>
    <t xml:space="preserve">Search: Medicine Ball Overhead Triceps Extension</t>
  </si>
  <si>
    <t xml:space="preserve">Medicine Ball Prone Pass</t>
  </si>
  <si>
    <t xml:space="preserve">Search: Medicine Ball Prone Pass</t>
  </si>
  <si>
    <t xml:space="preserve">Medicine Ball Bird Dog</t>
  </si>
  <si>
    <t xml:space="preserve">Search: Medicine Ball Bird Dog</t>
  </si>
  <si>
    <t xml:space="preserve">/10-medicine-ball-exercises-for-back/</t>
  </si>
  <si>
    <t xml:space="preserve">Medicine Ball Deadlift to Overhead Press</t>
  </si>
  <si>
    <t xml:space="preserve">Search: Medicine Ball Deadlift to Overhead Press</t>
  </si>
  <si>
    <t xml:space="preserve">Medicine Ball Figure-8 Rotation (standing)</t>
  </si>
  <si>
    <t xml:space="preserve">Search: Medicine Ball Figure-8 Rotation (standing)</t>
  </si>
  <si>
    <t xml:space="preserve">Medicine Ball Good Morning</t>
  </si>
  <si>
    <t xml:space="preserve">Search: Medicine Ball Good Morning</t>
  </si>
  <si>
    <t xml:space="preserve">Medicine Ball Prone Y-Raise</t>
  </si>
  <si>
    <t xml:space="preserve">Search: Medicine Ball Prone Y-Raise</t>
  </si>
  <si>
    <t xml:space="preserve">Medicine Ball Pullover</t>
  </si>
  <si>
    <t xml:space="preserve">Search: Medicine Ball Pullover</t>
  </si>
  <si>
    <t xml:space="preserve">Medicine Ball Superman</t>
  </si>
  <si>
    <t xml:space="preserve">Search: Medicine Ball Superman</t>
  </si>
  <si>
    <t xml:space="preserve">Medicine Ball Hip Thrust</t>
  </si>
  <si>
    <t xml:space="preserve">Search: Medicine Ball Hip Thrust</t>
  </si>
  <si>
    <t xml:space="preserve">/10-medicine-ball-exercises-for-legs/</t>
  </si>
  <si>
    <t xml:space="preserve">Medicine Ball Jump Squat</t>
  </si>
  <si>
    <t xml:space="preserve">Search: Medicine Ball Jump Squat</t>
  </si>
  <si>
    <t xml:space="preserve">Medicine Ball Overhead Walking Lunge</t>
  </si>
  <si>
    <t xml:space="preserve">Search: Medicine Ball Overhead Walking Lunge</t>
  </si>
  <si>
    <t xml:space="preserve">Medicine Ball Reverse Lunge</t>
  </si>
  <si>
    <t xml:space="preserve">Search: Medicine Ball Reverse Lunge</t>
  </si>
  <si>
    <t xml:space="preserve">Medicine Ball Side Lunge</t>
  </si>
  <si>
    <t xml:space="preserve">Search: Medicine Ball Side Lunge</t>
  </si>
  <si>
    <t xml:space="preserve">Medicine Ball Single-Leg Romanian Deadlift</t>
  </si>
  <si>
    <t xml:space="preserve">Search: Medicine Ball Single-Leg Romanian Deadlift</t>
  </si>
  <si>
    <t xml:space="preserve">Medicine Ball Squat</t>
  </si>
  <si>
    <t xml:space="preserve">Search: Medicine Ball Squat</t>
  </si>
  <si>
    <t xml:space="preserve">Wall Ball</t>
  </si>
  <si>
    <t xml:space="preserve">5492</t>
  </si>
  <si>
    <t xml:space="preserve">https://gymvisual.com/animated-gifs/5492-wall-ball.html</t>
  </si>
  <si>
    <t xml:space="preserve">Medicine Ball Flutter Kicks</t>
  </si>
  <si>
    <t xml:space="preserve">Search: Medicine Ball Flutter Kicks</t>
  </si>
  <si>
    <t xml:space="preserve">/medicine-ball-exercises-for-lower-abs/</t>
  </si>
  <si>
    <t xml:space="preserve">Medicine Ball Hand-to-Feet Pass</t>
  </si>
  <si>
    <t xml:space="preserve">Search: Medicine Ball Hand-to-Feet Pass</t>
  </si>
  <si>
    <t xml:space="preserve">Medicine Ball Hollow Hold</t>
  </si>
  <si>
    <t xml:space="preserve">Search: Medicine Ball Hollow Hold</t>
  </si>
  <si>
    <t xml:space="preserve">Medicine Ball Knee Tuck to Leg Extension</t>
  </si>
  <si>
    <t xml:space="preserve">Search: Medicine Ball Knee Tuck to Leg Extension</t>
  </si>
  <si>
    <t xml:space="preserve">Medicine Ball Overhead Crunch with Hip Raise</t>
  </si>
  <si>
    <t xml:space="preserve">Search: Medicine Ball Overhead Crunch with Hip Raise</t>
  </si>
  <si>
    <t xml:space="preserve">Medicine Ball Plank with Knee Drive</t>
  </si>
  <si>
    <t xml:space="preserve">Search: Medicine Ball Plank with Knee Drive</t>
  </si>
  <si>
    <t xml:space="preserve">Medicine Ball Figure-8 Around the Legs</t>
  </si>
  <si>
    <t xml:space="preserve">Search: Medicine Ball Figure-8 Around the Legs</t>
  </si>
  <si>
    <t xml:space="preserve">/medicine-ball-exercises-for-shoulders/</t>
  </si>
  <si>
    <t xml:space="preserve">Medicine Ball Front Raise</t>
  </si>
  <si>
    <t xml:space="preserve">Search: Medicine Ball Front Raise</t>
  </si>
  <si>
    <t xml:space="preserve">Medicine Ball Overhead Carry</t>
  </si>
  <si>
    <t xml:space="preserve">Search: Medicine Ball Overhead Carry</t>
  </si>
  <si>
    <t xml:space="preserve">Medicine Ball Overhead March</t>
  </si>
  <si>
    <t xml:space="preserve">Search: Medicine Ball Overhead March</t>
  </si>
  <si>
    <t xml:space="preserve">Medicine Ball Overhead Press</t>
  </si>
  <si>
    <t xml:space="preserve">Search: Medicine Ball Overhead Press</t>
  </si>
  <si>
    <t xml:space="preserve">Medicine Ball Upright Row</t>
  </si>
  <si>
    <t xml:space="preserve">Search: Medicine Ball Upright Row</t>
  </si>
  <si>
    <t xml:space="preserve">Medicine Ball Wall Sit with Overhead Hold</t>
  </si>
  <si>
    <t xml:space="preserve">Search: Medicine Ball Wall Sit with Overhead Hold</t>
  </si>
  <si>
    <t xml:space="preserve">Barbell Deadlift</t>
  </si>
  <si>
    <t xml:space="preserve">Search: Barbell Deadlift</t>
  </si>
  <si>
    <t xml:space="preserve">Air Squat</t>
  </si>
  <si>
    <t xml:space="preserve">Search: Air Squat</t>
  </si>
  <si>
    <t xml:space="preserve">/types-of-squats/</t>
  </si>
  <si>
    <t xml:space="preserve">Belt Squat</t>
  </si>
  <si>
    <t xml:space="preserve">Search: Belt Squat</t>
  </si>
  <si>
    <t xml:space="preserve">Box Squat</t>
  </si>
  <si>
    <t xml:space="preserve">Search: Box Squat</t>
  </si>
  <si>
    <t xml:space="preserve">Bulgarian Split Squat</t>
  </si>
  <si>
    <t xml:space="preserve">Search: Bulgarian Split Squat</t>
  </si>
  <si>
    <t xml:space="preserve">Cossack Squat</t>
  </si>
  <si>
    <t xml:space="preserve">Search: Cossack Squat</t>
  </si>
  <si>
    <t xml:space="preserve">Goblet Squat</t>
  </si>
  <si>
    <t xml:space="preserve">Search: Goblet Squat</t>
  </si>
  <si>
    <t xml:space="preserve">Hack Squat</t>
  </si>
  <si>
    <t xml:space="preserve">Search: Hack Squat</t>
  </si>
  <si>
    <t xml:space="preserve">Jump Squat</t>
  </si>
  <si>
    <t xml:space="preserve">Search: Jump Squat</t>
  </si>
  <si>
    <t xml:space="preserve">Overhead Squat</t>
  </si>
  <si>
    <t xml:space="preserve">Search: Overhead Squat</t>
  </si>
  <si>
    <t xml:space="preserve">Pistol Squat</t>
  </si>
  <si>
    <t xml:space="preserve">Search: Pistol Squat</t>
  </si>
  <si>
    <t xml:space="preserve">Smith Machine Squat</t>
  </si>
  <si>
    <t xml:space="preserve">Search: Smith Machine Squat</t>
  </si>
  <si>
    <t xml:space="preserve">Sumo Squat (bodyweight)</t>
  </si>
  <si>
    <t xml:space="preserve">Search: Sumo Squat (bodyweight)</t>
  </si>
  <si>
    <t xml:space="preserve">Zercher Squat</t>
  </si>
  <si>
    <t xml:space="preserve">Search: Zercher Squat</t>
  </si>
  <si>
    <t xml:space="preserve">Cable Pullover</t>
  </si>
  <si>
    <t xml:space="preserve">Search: Cable Pullover</t>
  </si>
  <si>
    <t xml:space="preserve">Decline Cable Press</t>
  </si>
  <si>
    <t xml:space="preserve">Search: Decline Cable Press</t>
  </si>
  <si>
    <t xml:space="preserve">High-to-Low Cable Fly</t>
  </si>
  <si>
    <t xml:space="preserve">Search: High-to-Low Cable Fly</t>
  </si>
  <si>
    <t xml:space="preserve">Incline Cable Press</t>
  </si>
  <si>
    <t xml:space="preserve">Search: Incline Cable Press</t>
  </si>
  <si>
    <t xml:space="preserve">Low-to-High Cable Fly</t>
  </si>
  <si>
    <t xml:space="preserve">Search: Low-to-High Cable Fly</t>
  </si>
  <si>
    <t xml:space="preserve">Mid Cable Fly</t>
  </si>
  <si>
    <t xml:space="preserve">Search: Mid Cable Fly</t>
  </si>
  <si>
    <t xml:space="preserve">Single-Arm Cable Crossover</t>
  </si>
  <si>
    <t xml:space="preserve">Search: Single-Arm Cable Crossover</t>
  </si>
  <si>
    <t xml:space="preserve">Single-Arm Cable Press</t>
  </si>
  <si>
    <t xml:space="preserve">Search: Single-Arm Cable Press</t>
  </si>
  <si>
    <t xml:space="preserve">Standing Cable Chest Press</t>
  </si>
  <si>
    <t xml:space="preserve">Search: Standing Cable Chest Press</t>
  </si>
  <si>
    <t xml:space="preserve">Dumbbell Lateral Raise</t>
  </si>
  <si>
    <t xml:space="preserve">Search: Dumbbell Lateral Raise</t>
  </si>
  <si>
    <t xml:space="preserve">#</t>
  </si>
  <si>
    <t xml:space="preserve">Article URL</t>
  </si>
  <si>
    <t xml:space="preserve">Section (heading on the page)</t>
  </si>
  <si>
    <t xml:space="preserve">Position</t>
  </si>
  <si>
    <t xml:space="preserve">Current image file</t>
  </si>
  <si>
    <t xml:space="preserve">Exercise (GIF)</t>
  </si>
  <si>
    <t xml:space="preserve">Action</t>
  </si>
  <si>
    <t xml:space="preserve">Needs a purchased GIF?</t>
  </si>
  <si>
    <t xml:space="preserve">What the check found</t>
  </si>
  <si>
    <t xml:space="preserve">https://exercisemenu.com/exercises-with-a-medicine-ball-for-beginners/</t>
  </si>
  <si>
    <t xml:space="preserve">1. Medicine Ball Slam</t>
  </si>
  <si>
    <t xml:space="preserve">Image 1 on page</t>
  </si>
  <si>
    <t xml:space="preserve">Cinematic_frontangle_shot_welllit_indoor_g.gif</t>
  </si>
  <si>
    <t xml:space="preserve">Already a video GIF (7-8 MB). Convert to MP4 instead of buying.</t>
  </si>
  <si>
    <t xml:space="preserve">No</t>
  </si>
  <si>
    <t xml:space="preserve">Already an animated GIF from video (128 frames). Form is good. 8 MB: convert to MP4.</t>
  </si>
  <si>
    <t xml:space="preserve">2. Medicine Ball Overhead Press</t>
  </si>
  <si>
    <t xml:space="preserve">Image 2 on page</t>
  </si>
  <si>
    <t xml:space="preserve">Medicine-Ball-Overhead-Press.gif</t>
  </si>
  <si>
    <t xml:space="preserve">Already an animated GIF from video (128 frames). Form is good. 7 MB: convert to MP4.</t>
  </si>
  <si>
    <t xml:space="preserve">3. Medicine Ball Push-Up</t>
  </si>
  <si>
    <t xml:space="preserve">Image 3 on page</t>
  </si>
  <si>
    <t xml:space="preserve">medicine-ball-pushup-two-panel-683x1024.webp</t>
  </si>
  <si>
    <t xml:space="preserve">Yes</t>
  </si>
  <si>
    <t xml:space="preserve">Two-photo sequence, form fine.</t>
  </si>
  <si>
    <t xml:space="preserve">4. Chest Pass Against a Wall</t>
  </si>
  <si>
    <t xml:space="preserve">Image 4 on page</t>
  </si>
  <si>
    <t xml:space="preserve">medicine-ball-wall-throw-two-panel-683x1024.webp</t>
  </si>
  <si>
    <t xml:space="preserve">Two-photo sequence, form fine (steps into the throw).</t>
  </si>
  <si>
    <t xml:space="preserve">5. Russian twist</t>
  </si>
  <si>
    <t xml:space="preserve">Image 5 on page</t>
  </si>
  <si>
    <t xml:space="preserve">Medicine-ball-Russian-twist-exercise.gif</t>
  </si>
  <si>
    <t xml:space="preserve">Already an animated GIF from video (128 frames, 7.6 MB). Torso barely turns; the arms do most of the twist. Convert to MP4.</t>
  </si>
  <si>
    <t xml:space="preserve">6. Wood chop</t>
  </si>
  <si>
    <t xml:space="preserve">Image 6 on page</t>
  </si>
  <si>
    <t xml:space="preserve">medicine-ball-woodchop-correct-form-683x1024.webp</t>
  </si>
  <si>
    <t xml:space="preserve">Low-to-high chop path is correct.</t>
  </si>
  <si>
    <t xml:space="preserve">7. Plank ball pass</t>
  </si>
  <si>
    <t xml:space="preserve">Image 7 on page</t>
  </si>
  <si>
    <t xml:space="preserve">medicine-ball-plank-roll-two-panel-683x1024.webp</t>
  </si>
  <si>
    <t xml:space="preserve">Hips level, form fine.</t>
  </si>
  <si>
    <t xml:space="preserve">8. V-Up With Medicine Ball</t>
  </si>
  <si>
    <t xml:space="preserve">Image 8 on page</t>
  </si>
  <si>
    <t xml:space="preserve">medicine-ball-vup-two-panel-683x1024.webp</t>
  </si>
  <si>
    <t xml:space="preserve">Form fine.</t>
  </si>
  <si>
    <t xml:space="preserve">9. Squat and press</t>
  </si>
  <si>
    <t xml:space="preserve">Image 9 on page</t>
  </si>
  <si>
    <t xml:space="preserve">squat-to-overhead-press-medicine-ball-683x1024.webp</t>
  </si>
  <si>
    <t xml:space="preserve">10. Forward lunge with twist</t>
  </si>
  <si>
    <t xml:space="preserve">Image 10 on page</t>
  </si>
  <si>
    <t xml:space="preserve">lunge-rotation-medicine-ball-two-panel-683x1024.webp</t>
  </si>
  <si>
    <t xml:space="preserve">Back knee rests on the floor (static kneel, not a lunge) and the ball moves with the arms more than the torso.</t>
  </si>
  <si>
    <t xml:space="preserve">11. Medicine ball Romanian deadlift</t>
  </si>
  <si>
    <t xml:space="preserve">Image 11 on page</t>
  </si>
  <si>
    <t xml:space="preserve">Medicine-ball-Romanian-deadlift-683x1024.webp</t>
  </si>
  <si>
    <t xml:space="preserve">Knees almost locked; reads as a stiff-leg deadlift more than an RDL.</t>
  </si>
  <si>
    <t xml:space="preserve">12. Glute bridge with ball squeeze</t>
  </si>
  <si>
    <t xml:space="preserve">Image 12 on page</t>
  </si>
  <si>
    <t xml:space="preserve">medicine-ball-glute-bridge-two-panel-683x1024.webp</t>
  </si>
  <si>
    <t xml:space="preserve">Ball squeezed between knees</t>
  </si>
  <si>
    <t xml:space="preserve">Ball sits on top of the knees, but the heading and alt text say it is squeezed between the knees.</t>
  </si>
  <si>
    <t xml:space="preserve">https://exercisemenu.com/medicine-ball-ab-exercises/</t>
  </si>
  <si>
    <t xml:space="preserve">1. Medicine Ball Sit-Up</t>
  </si>
  <si>
    <t xml:space="preserve">Medicine-Ball-Sit-Up-1024x555.webp</t>
  </si>
  <si>
    <t xml:space="preserve">Keep the branded infographic (cues, sets, do/don't) and add the GIF above it</t>
  </si>
  <si>
    <t xml:space="preserve">Branded infographic with cues, sets and reps.</t>
  </si>
  <si>
    <t xml:space="preserve">2. Medicine Ball V-Up</t>
  </si>
  <si>
    <t xml:space="preserve">medicine-ball-ab-v-up-1024x683.webp</t>
  </si>
  <si>
    <t xml:space="preserve">Branded infographic, form fine.</t>
  </si>
  <si>
    <t xml:space="preserve">3. Table Top Crunch with Medicine Ball</t>
  </si>
  <si>
    <t xml:space="preserve">medicine-ball-ab-table-top-crunch-1024x683.jpeg</t>
  </si>
  <si>
    <t xml:space="preserve">Alt text says the ball rests on the shins; image shows it held in the hands.</t>
  </si>
  <si>
    <t xml:space="preserve">4. Medicine Ball Leg Raise</t>
  </si>
  <si>
    <t xml:space="preserve">medicine-ball-ab-leg-raise-1024x683.jpeg</t>
  </si>
  <si>
    <t xml:space="preserve">5. Medicine Ball Reverse Crunch</t>
  </si>
  <si>
    <t xml:space="preserve">Medicine-Ball-Reverse-Crunch-1024x683.jpeg</t>
  </si>
  <si>
    <t xml:space="preserve">Image also contains a 'Medicine Ball Side Bend' panel, which is not one of the article's exercises.</t>
  </si>
  <si>
    <t xml:space="preserve">6. Medicine Ball Russian Twist</t>
  </si>
  <si>
    <t xml:space="preserve">medicine-ball-ab-russian-twist-1024x683.webp</t>
  </si>
  <si>
    <t xml:space="preserve">7. Medicine Ball Wood Chop (Standing)</t>
  </si>
  <si>
    <t xml:space="preserve">Medicine-Ball-Wood-Chop-1024x683.webp</t>
  </si>
  <si>
    <t xml:space="preserve">Different model and style from the rest of the article; chop path fine.</t>
  </si>
  <si>
    <t xml:space="preserve">8. Medicine Ball Plank</t>
  </si>
  <si>
    <t xml:space="preserve">Medicine-Ball-Plank-1024x683.jpeg</t>
  </si>
  <si>
    <t xml:space="preserve">Three identical panels; fine for a hold.</t>
  </si>
  <si>
    <t xml:space="preserve">9. Dead Bug with Medicine Ball Overhead</t>
  </si>
  <si>
    <t xml:space="preserve">Dead-Bug-with-Medicine-Ball-Overhead-1024x683.jpeg</t>
  </si>
  <si>
    <t xml:space="preserve">Article version holds the ball overhead</t>
  </si>
  <si>
    <t xml:space="preserve">Text says lower 'your right arm (with the ball)' while the ball is held in both hands; image and instruction contradict each other.</t>
  </si>
  <si>
    <t xml:space="preserve">10. Standing Rotational Slam</t>
  </si>
  <si>
    <t xml:space="preserve">Under this heading</t>
  </si>
  <si>
    <t xml:space="preserve">(none)</t>
  </si>
  <si>
    <t xml:space="preserve">Section has no image yet</t>
  </si>
  <si>
    <t xml:space="preserve">-</t>
  </si>
  <si>
    <t xml:space="preserve">No image to check</t>
  </si>
  <si>
    <t xml:space="preserve">https://exercisemenu.com/medicine-ball-exercises-for-lower-abs/</t>
  </si>
  <si>
    <t xml:space="preserve">1. Medicine Ball Leg Raises</t>
  </si>
  <si>
    <t xml:space="preserve">medicine-ball-leg-raises-step-by-step.webp-1024x683.webp</t>
  </si>
  <si>
    <t xml:space="preserve">Ball balances on top of the feet instead of being squeezed between them; it would fall in a real rep.</t>
  </si>
  <si>
    <t xml:space="preserve">2. Medicine Ball Reverse Crunch</t>
  </si>
  <si>
    <t xml:space="preserve">medicine-ball-reverse-crunch-step-by-step.webp-1024x683.webp</t>
  </si>
  <si>
    <t xml:space="preserve">Clear, with lower-back insets.</t>
  </si>
  <si>
    <t xml:space="preserve">3. Medicine Ball Flutter Kicks</t>
  </si>
  <si>
    <t xml:space="preserve">medicine-ball-flutter-kicks-step-by-step.webp-1024x597.webp</t>
  </si>
  <si>
    <t xml:space="preserve">Clear and detailed.</t>
  </si>
  <si>
    <t xml:space="preserve">4. Medicine Ball V-Up</t>
  </si>
  <si>
    <t xml:space="preserve">medicine-ball-v-up-step-by-step.webp-1024x683.webp</t>
  </si>
  <si>
    <t xml:space="preserve">Step 4 caption is garbled ('Lower both back down slowly').</t>
  </si>
  <si>
    <t xml:space="preserve">5. Medicine Ball Dead Bug</t>
  </si>
  <si>
    <t xml:space="preserve">how-to-do-medicine-ball-dead-bug.webp-1024x597.webp</t>
  </si>
  <si>
    <t xml:space="preserve">Clear, opposite arm and leg correct.</t>
  </si>
  <si>
    <t xml:space="preserve">6. Medicine Ball Hollow Hold</t>
  </si>
  <si>
    <t xml:space="preserve">medicine-ball-hollow-hold-step-by-step.webp-1024x597.webp</t>
  </si>
  <si>
    <t xml:space="preserve">Clear.</t>
  </si>
  <si>
    <t xml:space="preserve">7. Medicine Ball Knee Tuck to Leg Extension</t>
  </si>
  <si>
    <t xml:space="preserve">medicine-ball-knee-tuck-to-leg-extension-step-by-step.webp-1024x597.webp</t>
  </si>
  <si>
    <t xml:space="preserve">8. Medicine Ball Pass (Hands to Feet)</t>
  </si>
  <si>
    <t xml:space="preserve">medicine-ball-pass-hands-to-feet-step-by-step.webp-1024x597.webp</t>
  </si>
  <si>
    <t xml:space="preserve">9. Medicine Ball Plank with Knee Drive</t>
  </si>
  <si>
    <t xml:space="preserve">medicine-ball-plank-with-knee-drive-step-by-step.webp-1024x597.webp</t>
  </si>
  <si>
    <t xml:space="preserve">10. Medicine Ball Overhead Crunch with Hip Raise</t>
  </si>
  <si>
    <t xml:space="preserve">medicine-ball-overhead-crunch-with-hip-raise-step-by-step.webp-1024x597.webp</t>
  </si>
  <si>
    <t xml:space="preserve">https://exercisemenu.com/10-medicine-ball-exercises-for-legs/</t>
  </si>
  <si>
    <t xml:space="preserve">1. Medicine Ball Squat</t>
  </si>
  <si>
    <t xml:space="preserve">medicine-ball-squat-quads-glutes-1024x683.webp</t>
  </si>
  <si>
    <t xml:space="preserve">Stance is shoulder-width in the start panel but very wide in the bottom panel.</t>
  </si>
  <si>
    <t xml:space="preserve">2. Medicine Ball Reverse Lunge</t>
  </si>
  <si>
    <t xml:space="preserve">medicine-ball-reverse-lunge-hamstrings-glutes-female-1024x683.webp</t>
  </si>
  <si>
    <t xml:space="preserve">Good: shin vertical, torso upright.</t>
  </si>
  <si>
    <t xml:space="preserve">3. Wall Ball</t>
  </si>
  <si>
    <t xml:space="preserve">wall-ball-quads-glutes-power-1024x640.webp</t>
  </si>
  <si>
    <t xml:space="preserve">Good.</t>
  </si>
  <si>
    <t xml:space="preserve">4. Medicine Ball Jump Squat</t>
  </si>
  <si>
    <t xml:space="preserve">medicine-ball-jump-squat-power-quads-female-1024x683.webp</t>
  </si>
  <si>
    <t xml:space="preserve">Good, includes a landing do/don't.</t>
  </si>
  <si>
    <t xml:space="preserve">5. Single-Leg Romanian Deadlift</t>
  </si>
  <si>
    <t xml:space="preserve">Single-Leg-Romanian-Deadlift-1024x683.webp</t>
  </si>
  <si>
    <t xml:space="preserve">Good, includes a wrong example.</t>
  </si>
  <si>
    <t xml:space="preserve">6. Medicine Ball Side Lunge</t>
  </si>
  <si>
    <t xml:space="preserve">medicine-ball-side-lunge-adductors-glutes-female-1024x683.webp</t>
  </si>
  <si>
    <t xml:space="preserve">Top-down inset labels ('left foot forward') contradict the side-lunge stance shown.</t>
  </si>
  <si>
    <t xml:space="preserve">7. Medicine Ball Glute Bridge</t>
  </si>
  <si>
    <t xml:space="preserve">medicine-ball-glute-bridge-glutes-hamstrings-female-1024x683.webp</t>
  </si>
  <si>
    <t xml:space="preserve">8. Overhead Walking Lunge</t>
  </si>
  <si>
    <t xml:space="preserve">overhead-walking-lunge-quads-glutes-core-female-1024x683.webp</t>
  </si>
  <si>
    <t xml:space="preserve">Good, includes alignment and wrong example.</t>
  </si>
  <si>
    <t xml:space="preserve">9. Forward Lunge with Twist</t>
  </si>
  <si>
    <t xml:space="preserve">forward-lunge-with-twist-quads-glutes-obliques-female-1024x683.webp</t>
  </si>
  <si>
    <t xml:space="preserve">Panel 3 is labelled 'rotate toward lead leg', but the ball turns away from the front leg.</t>
  </si>
  <si>
    <t xml:space="preserve">10. Medicine Ball Hip Thrust</t>
  </si>
  <si>
    <t xml:space="preserve">medicine-ball-hip-thrust-glutes-hamstrings-female-1024x683.webp</t>
  </si>
  <si>
    <t xml:space="preserve">https://exercisemenu.com/10-medicine-ball-chest-exercises/</t>
  </si>
  <si>
    <t xml:space="preserve">1. Medicine Ball Incline Push-Up</t>
  </si>
  <si>
    <t xml:space="preserve">medicine-ball-chest-incline-push-up-1-1024x512.webp</t>
  </si>
  <si>
    <t xml:space="preserve">2. Medicine Ball Staggered Push-Up</t>
  </si>
  <si>
    <t xml:space="preserve">medicine-ball-chest-staggered-push-up-1-1024x512.webp</t>
  </si>
  <si>
    <t xml:space="preserve">3. Medicine Ball Floor Press</t>
  </si>
  <si>
    <t xml:space="preserve">Medicine-ball-chest-floor-press-1024x683.webp</t>
  </si>
  <si>
    <t xml:space="preserve">4. Medicine Ball Push-Up (Both Hands)</t>
  </si>
  <si>
    <t xml:space="preserve">medicine-ball-chest-lying-toss-1024x683.webp</t>
  </si>
  <si>
    <t xml:space="preserve">5. Medicine Ball Lying Chest Toss</t>
  </si>
  <si>
    <t xml:space="preserve">medicine-ball-chest-push-up-both-hands-1024x683.webp</t>
  </si>
  <si>
    <t xml:space="preserve">6. Medicine Ball Chest Pass (Wall)</t>
  </si>
  <si>
    <t xml:space="preserve">Medicine-ball-chest-pass-wall-1024x683.webp</t>
  </si>
  <si>
    <t xml:space="preserve">7. Medicine Ball Chest Throw (Partner)</t>
  </si>
  <si>
    <t xml:space="preserve">medicine-ball-chest-throw-partner-1024x683.webp</t>
  </si>
  <si>
    <t xml:space="preserve">Medicine Ball Chest Pass (partner)</t>
  </si>
  <si>
    <t xml:space="preserve">Two people: no single-person GIF fits</t>
  </si>
  <si>
    <t xml:space="preserve">Two-person drill; keep.</t>
  </si>
  <si>
    <t xml:space="preserve">8. Medicine Ball Rolling Push-Up</t>
  </si>
  <si>
    <t xml:space="preserve">Medicine-ball-chest-rolling-push-up-1-1024x512.webp</t>
  </si>
  <si>
    <t xml:space="preserve">Photo-style; model's cap shows an Adidas logo.</t>
  </si>
  <si>
    <t xml:space="preserve">9. Plyometric Medicine Ball Push-Up</t>
  </si>
  <si>
    <t xml:space="preserve">medicine-ball-chest-plyometric-push-up-1-1024x512.webp</t>
  </si>
  <si>
    <t xml:space="preserve">Photo-style; Adidas logo on cap.</t>
  </si>
  <si>
    <t xml:space="preserve">10. Medicine Ball Squat to Chest Press</t>
  </si>
  <si>
    <t xml:space="preserve">medicine-ball-chest-squat-to-press-1024x683.webp</t>
  </si>
  <si>
    <t xml:space="preserve">https://exercisemenu.com/10-medicine-ball-exercises-for-back/</t>
  </si>
  <si>
    <t xml:space="preserve">1. Medicine ball superman</t>
  </si>
  <si>
    <t xml:space="preserve">medicine-ball-superman-exercise-step-by-step.jpg-1024x683.webp</t>
  </si>
  <si>
    <t xml:space="preserve">'Wrong' and 'Correct' thumbnails look almost the same.</t>
  </si>
  <si>
    <t xml:space="preserve">2. Bent over row</t>
  </si>
  <si>
    <t xml:space="preserve">bent-over-row-medicine-ball-exercise-guide.jpg-1024x683.webp</t>
  </si>
  <si>
    <t xml:space="preserve">Good, includes wrong/correct.</t>
  </si>
  <si>
    <t xml:space="preserve">3. Medicine ball pullover</t>
  </si>
  <si>
    <t xml:space="preserve">medicine-ball-pullover-exercise-guide.jpg-1024x683.webp</t>
  </si>
  <si>
    <t xml:space="preserve">4. Medicine ball good morning</t>
  </si>
  <si>
    <t xml:space="preserve">medicine-ball-good-morning-exercise-guide.jpg-1024x683.webp</t>
  </si>
  <si>
    <t xml:space="preserve">5. Medicine ball prone Y-raise</t>
  </si>
  <si>
    <t xml:space="preserve">medicine-ball-prone-y-raise-exercise-guide.jpg-1024x683.webp</t>
  </si>
  <si>
    <t xml:space="preserve">6. Overhead halo</t>
  </si>
  <si>
    <t xml:space="preserve">overhead-halo-medicine-ball-exercise-guide.jpg-1024x683.webp</t>
  </si>
  <si>
    <t xml:space="preserve">7. Medicine ball bird dog</t>
  </si>
  <si>
    <t xml:space="preserve">medicine-ball-bird-dog-exercise-guide.jpg-1024x683.webp</t>
  </si>
  <si>
    <t xml:space="preserve">8. Figure of 8 rotation</t>
  </si>
  <si>
    <t xml:space="preserve">figure-of-8-rotation-medicine-ball-exercise-guide-1024x683.webp</t>
  </si>
  <si>
    <t xml:space="preserve">Standing figure-8 rotation. This is a different exercise from the shoulders article's figure-8 around the legs.</t>
  </si>
  <si>
    <t xml:space="preserve">9. Medicine ball slam</t>
  </si>
  <si>
    <t xml:space="preserve">medicine-ball-slam-exercise-guide-1024x683.webp</t>
  </si>
  <si>
    <t xml:space="preserve">Good, includes pickup do/don't.</t>
  </si>
  <si>
    <t xml:space="preserve">10. Medicine ball deadlift to overhead press</t>
  </si>
  <si>
    <t xml:space="preserve">deadlift-to-overhead-press-medicine-ball-exercise-guide-1024x683.png</t>
  </si>
  <si>
    <t xml:space="preserve">Text says the ball starts between the feet; image shows it in front of them.</t>
  </si>
  <si>
    <t xml:space="preserve">https://exercisemenu.com/10-medicine-ball-exercises-for-arms/</t>
  </si>
  <si>
    <t xml:space="preserve">1. Overhead triceps extension</t>
  </si>
  <si>
    <t xml:space="preserve">overhead-triceps-extension-medicine-ball.webp-1024x683.webp</t>
  </si>
  <si>
    <t xml:space="preserve">2. Bicep curls</t>
  </si>
  <si>
    <t xml:space="preserve">medicine-ball-bicep-curls-step-by-step.webp-1024x683.webp</t>
  </si>
  <si>
    <t xml:space="preserve">3. Curl and press</t>
  </si>
  <si>
    <t xml:space="preserve">medicine-ball-curl-and-press-step-by-step.webp-1024x768.webp</t>
  </si>
  <si>
    <t xml:space="preserve">4. Overhead pass</t>
  </si>
  <si>
    <t xml:space="preserve">medicine-ball-overhead-pass-bird-eye-view-guide.webp-1024x683.webp</t>
  </si>
  <si>
    <t xml:space="preserve">Medicine Ball Overhead Pass</t>
  </si>
  <si>
    <t xml:space="preserve">Image is a top-down path diagram, not a person</t>
  </si>
  <si>
    <t xml:space="preserve">Top-down path diagram; keep.</t>
  </si>
  <si>
    <t xml:space="preserve">5. Bent-over row</t>
  </si>
  <si>
    <t xml:space="preserve">medicine-ball-bent-over-row-step-by-step.webp-1024x683.webp</t>
  </si>
  <si>
    <t xml:space="preserve">6. Controlled slam</t>
  </si>
  <si>
    <t xml:space="preserve">medicine-ball-controlled-slam-step-by-step.webp-1024x683.webp</t>
  </si>
  <si>
    <t xml:space="preserve">7. Lying triceps press</t>
  </si>
  <si>
    <t xml:space="preserve">medicine-ball-lying-triceps-press-step-by-step.webp-1024x683.webp</t>
  </si>
  <si>
    <t xml:space="preserve">Shows a chest/floor press (ball pressed up from the chest), not a lying triceps press (elbows bend to lower the ball toward the forehead).</t>
  </si>
  <si>
    <t xml:space="preserve">8. Single-arm shoulder press</t>
  </si>
  <si>
    <t xml:space="preserve">medicine-ball-single-arm-shoulder-press-step-by-step.webp-1024x683.webp</t>
  </si>
  <si>
    <t xml:space="preserve">Panel 4 shows two balls (one overhead, one at the chest).</t>
  </si>
  <si>
    <t xml:space="preserve">9. Prone passes</t>
  </si>
  <si>
    <t xml:space="preserve">medicine-ball-prone-passes-step-by-step.webp-1024x683.webp</t>
  </si>
  <si>
    <t xml:space="preserve">10. Arm circles</t>
  </si>
  <si>
    <t xml:space="preserve">medicine-ball-arm-circles-step-by-step.webp-1024x683.webp</t>
  </si>
  <si>
    <t xml:space="preserve">https://exercisemenu.com/medicine-ball-exercises-for-shoulders/</t>
  </si>
  <si>
    <t xml:space="preserve">Strength and Pressing</t>
  </si>
  <si>
    <t xml:space="preserve">medicine-ball-shoulder-press-1024x819.webp</t>
  </si>
  <si>
    <t xml:space="preserve">Detailed branded infographic.</t>
  </si>
  <si>
    <t xml:space="preserve">medicine-ball-front-raise-1024x819.webp</t>
  </si>
  <si>
    <t xml:space="preserve">Elbows a little more bent than 'nearly straight', otherwise fine.</t>
  </si>
  <si>
    <t xml:space="preserve">medicine-ball-push-up-1024x819.webp</t>
  </si>
  <si>
    <t xml:space="preserve">medicine-ball-upright-row-1024x819.webp</t>
  </si>
  <si>
    <t xml:space="preserve">Stability and Control</t>
  </si>
  <si>
    <t xml:space="preserve">medicine-ball-halo-1024x944.webp</t>
  </si>
  <si>
    <t xml:space="preserve">Clear six-step sequence.</t>
  </si>
  <si>
    <t xml:space="preserve">medicine-ball-overhead-carry-1024x819.webp</t>
  </si>
  <si>
    <t xml:space="preserve">wall-sit-overhead-hold-medicine-ball-933x1024.webp</t>
  </si>
  <si>
    <t xml:space="preserve">medicine-ball-overhead-march-1024x819.webp</t>
  </si>
  <si>
    <t xml:space="preserve">medicine-ball-figure-8-pass-1024x944.webp</t>
  </si>
  <si>
    <t xml:space="preserve">Clear; figure-8 around the legs.</t>
  </si>
  <si>
    <t xml:space="preserve">Power and Explosive Movement</t>
  </si>
  <si>
    <t xml:space="preserve">medicine-ball-overhead-slam-1024x819.webp</t>
  </si>
  <si>
    <t xml:space="preserve">Step 4 says 'catch the ball on the bounce' while the key points say to use a non-bouncing slam ball.</t>
  </si>
  <si>
    <t xml:space="preserve">https://exercisemenu.com/partner-medicine-ball-exercises/</t>
  </si>
  <si>
    <t xml:space="preserve">1. Back-to-Back Rotation</t>
  </si>
  <si>
    <t xml:space="preserve">partner-mb-back-to-back-rotation-1024x597.webp</t>
  </si>
  <si>
    <t xml:space="preserve">Partner Back-to-Back Rotation</t>
  </si>
  <si>
    <t xml:space="preserve">Two-person drill: no stock GIF exists. Regenerate this image.</t>
  </si>
  <si>
    <t xml:space="preserve">Garbled AI text ('Pass the of the ball (on souncing...', 'Put an the evil iturn') and the pair stands side by side, not back to back.</t>
  </si>
  <si>
    <t xml:space="preserve">2. Sit-Up Pass</t>
  </si>
  <si>
    <t xml:space="preserve">partner-mb-sit-up-pass-steps-1024x597.webp</t>
  </si>
  <si>
    <t xml:space="preserve">Partner Sit-Up Pass</t>
  </si>
  <si>
    <t xml:space="preserve">Two people: Gym Visual animates one person</t>
  </si>
  <si>
    <t xml:space="preserve">Clear eight-step guide.</t>
  </si>
  <si>
    <t xml:space="preserve">3. Partner Leg Raises with Foot Hold</t>
  </si>
  <si>
    <t xml:space="preserve">partner-mb-leg-raises-steps-1024x683.webp</t>
  </si>
  <si>
    <t xml:space="preserve">Partner Leg Raise with Foot Hold</t>
  </si>
  <si>
    <t xml:space="preserve">No medicine ball in the image, in a medicine ball article.</t>
  </si>
  <si>
    <t xml:space="preserve">4. Chest Press Throw</t>
  </si>
  <si>
    <t xml:space="preserve">partner-mb-chest-press-throw-steps-1024x683.webp</t>
  </si>
  <si>
    <t xml:space="preserve">Partner Chest Press Throw</t>
  </si>
  <si>
    <t xml:space="preserve">5. Med Ball Toss with Lunge</t>
  </si>
  <si>
    <t xml:space="preserve">partner-mb-lunge-toss-steps-1024x683.webp</t>
  </si>
  <si>
    <t xml:space="preserve">Partner Toss with Lunge</t>
  </si>
  <si>
    <t xml:space="preserve">6. Overhead Slam to Partner</t>
  </si>
  <si>
    <t xml:space="preserve">partner-mb-overhead-slam-steps-1024x683.webp</t>
  </si>
  <si>
    <t xml:space="preserve">Partner Overhead Slam</t>
  </si>
  <si>
    <t xml:space="preserve">7. Side Throw</t>
  </si>
  <si>
    <t xml:space="preserve">partner-mb-side-throw-steps-1024x683.webp</t>
  </si>
  <si>
    <t xml:space="preserve">Partner Side Throw</t>
  </si>
  <si>
    <t xml:space="preserve">Text says 'stand side by side facing the same direction'; image shows partners facing each other.</t>
  </si>
  <si>
    <t xml:space="preserve">8. Squat and Throw</t>
  </si>
  <si>
    <t xml:space="preserve">partner-mb-squat-throw-steps-1024x683.webp</t>
  </si>
  <si>
    <t xml:space="preserve">Partner Squat and Throw</t>
  </si>
  <si>
    <t xml:space="preserve">9. Plank Pass</t>
  </si>
  <si>
    <t xml:space="preserve">partner-mb-plank-pass-steps-1024x683.webp</t>
  </si>
  <si>
    <t xml:space="preserve">Partner Plank Pass</t>
  </si>
  <si>
    <t xml:space="preserve">10. Rolling Push-Up Pass</t>
  </si>
  <si>
    <t xml:space="preserve">partner-mb-rolling-pushup-steps-1024x683.webp</t>
  </si>
  <si>
    <t xml:space="preserve">Partner Rolling Push-Up Pass</t>
  </si>
  <si>
    <t xml:space="preserve">https://exercisemenu.com/10-medicine-ball-exercises-for-kids-under-12/</t>
  </si>
  <si>
    <t xml:space="preserve">1. Medicine ball squat</t>
  </si>
  <si>
    <t xml:space="preserve">medicine-ball-squat-step-guide.webp-1024x683.webp</t>
  </si>
  <si>
    <t xml:space="preserve">Image shows a child, which suits this page; replace only if the form is wrong</t>
  </si>
  <si>
    <t xml:space="preserve">2. Chest pass (with a partner or wall)</t>
  </si>
  <si>
    <t xml:space="preserve">medicine-ball-chest-pass-guide-1024x683.webp</t>
  </si>
  <si>
    <t xml:space="preserve">Says stepping forward is wrong, but the next image (#95) and the beginners article show stepping into the throw.</t>
  </si>
  <si>
    <t xml:space="preserve">3. Overhead throw</t>
  </si>
  <si>
    <t xml:space="preserve">overhead-throw-step-guide-1024x683.webp</t>
  </si>
  <si>
    <t xml:space="preserve">Medicine Ball Overhead Throw</t>
  </si>
  <si>
    <t xml:space="preserve">Steps forward, contradicting the 'don't step' advice on the previous image.</t>
  </si>
  <si>
    <t xml:space="preserve">4. Standing Russian twist</t>
  </si>
  <si>
    <t xml:space="preserve">standing-russian-twist-guide-1-1024x683.webp</t>
  </si>
  <si>
    <t xml:space="preserve">Medicine Ball Standing Russian Twist</t>
  </si>
  <si>
    <t xml:space="preserve">5. Ball around the body</t>
  </si>
  <si>
    <t xml:space="preserve">ball-around-the-body-guide-1024x683.webp</t>
  </si>
  <si>
    <t xml:space="preserve">Medicine Ball Around the Body</t>
  </si>
  <si>
    <t xml:space="preserve">6. Medicine ball wood chop</t>
  </si>
  <si>
    <t xml:space="preserve">medicine-ball-wood-chop-guide-1024x683.webp</t>
  </si>
  <si>
    <t xml:space="preserve">7. Squat-throw-catch</t>
  </si>
  <si>
    <t xml:space="preserve">squat-throw-catch-guide-1024x683.webp</t>
  </si>
  <si>
    <t xml:space="preserve">Medicine Ball Squat Throw</t>
  </si>
  <si>
    <t xml:space="preserve">8. Medicine ball lunge</t>
  </si>
  <si>
    <t xml:space="preserve">medicine-ball-lunge-guide-1024x683.webp</t>
  </si>
  <si>
    <t xml:space="preserve">Medicine Ball Lunge</t>
  </si>
  <si>
    <t xml:space="preserve">9. Push and chase</t>
  </si>
  <si>
    <t xml:space="preserve">push-and-chase-guide-1024x683.webp</t>
  </si>
  <si>
    <t xml:space="preserve">Push and Chase</t>
  </si>
  <si>
    <t xml:space="preserve">10. Partner over-and-under</t>
  </si>
  <si>
    <t xml:space="preserve">partner-over-and-under-medicine-ball-guide-1024x683.webp</t>
  </si>
  <si>
    <t xml:space="preserve">Partner Over-and-Under</t>
  </si>
  <si>
    <t xml:space="preserve">Text says 'stand back-to-back'; image shows one child behind the other, both facing the same way.</t>
  </si>
  <si>
    <t xml:space="preserve">https://exercisemenu.com/cable-chest-exercises-10-best-moves/</t>
  </si>
  <si>
    <t xml:space="preserve">Upper Chest — Low Pulley</t>
  </si>
  <si>
    <t xml:space="preserve">low-to-high-cable-fly-upper-chest-1024x512.webp</t>
  </si>
  <si>
    <t xml:space="preserve">Photo pair, fine.</t>
  </si>
  <si>
    <t xml:space="preserve">incline-cable-press-upper-chest-1024x512.webp</t>
  </si>
  <si>
    <t xml:space="preserve">Mid Chest — Shoulder Height</t>
  </si>
  <si>
    <t xml:space="preserve">standing-cable-chest-press-mid-chest-1024x512.webp</t>
  </si>
  <si>
    <t xml:space="preserve">cable-crossover-mid-chest-1024x576.webp</t>
  </si>
  <si>
    <t xml:space="preserve">Labelled 'mid chest, shoulder height', but cables come from the high pulleys and hands finish low; it shows the same movement as the high-to-low fly (#109).</t>
  </si>
  <si>
    <t xml:space="preserve">mid-cable-fly-mid-chest-1024x512.webp</t>
  </si>
  <si>
    <t xml:space="preserve">single-arm-cable-press-mid-chest-1024x512.webp</t>
  </si>
  <si>
    <t xml:space="preserve">Lower Chest — High Pulley</t>
  </si>
  <si>
    <t xml:space="preserve">high-to-low-cable-fly-lower-chest-1024x512.webp</t>
  </si>
  <si>
    <t xml:space="preserve">decline-cable-press-lower-chest-1024x512.webp</t>
  </si>
  <si>
    <t xml:space="preserve">Full-Pec Movements</t>
  </si>
  <si>
    <t xml:space="preserve">cable-pullover-full-pec-1024x512.webp</t>
  </si>
  <si>
    <t xml:space="preserve">Form fine (it is mainly a lat exercise, which the article could mention).</t>
  </si>
  <si>
    <t xml:space="preserve">single-arm-cable-crossover-full-pec-1024x512.webp</t>
  </si>
  <si>
    <t xml:space="preserve">https://exercisemenu.com/isometric-exercises/</t>
  </si>
  <si>
    <t xml:space="preserve">Core</t>
  </si>
  <si>
    <t xml:space="preserve">high-plank-hold-exercise-guide-1024x683.webp</t>
  </si>
  <si>
    <t xml:space="preserve">High Plank</t>
  </si>
  <si>
    <t xml:space="preserve">Static hold: a still image shows it fully; a GIF adds nothing</t>
  </si>
  <si>
    <t xml:space="preserve">Static hold, form fine; model wears sunglasses indoors.</t>
  </si>
  <si>
    <t xml:space="preserve">side-plank-hold-exercise-guide-1024x683.webp</t>
  </si>
  <si>
    <t xml:space="preserve">Side Plank</t>
  </si>
  <si>
    <t xml:space="preserve">Text says forearm on the floor; image shows a straight-arm side plank.</t>
  </si>
  <si>
    <t xml:space="preserve">dead-bug-hold-exercise-guide-1024x683.webp</t>
  </si>
  <si>
    <t xml:space="preserve">Dead Bug (bodyweight)</t>
  </si>
  <si>
    <t xml:space="preserve">Lower Body</t>
  </si>
  <si>
    <t xml:space="preserve">wall-sit-hold-exercise-guide-1024x683.webp</t>
  </si>
  <si>
    <t xml:space="preserve">Wall Sit</t>
  </si>
  <si>
    <t xml:space="preserve">glute-bridge-hold-exercise-guide-1024x683.webp</t>
  </si>
  <si>
    <t xml:space="preserve">Glute Bridge (bodyweight)</t>
  </si>
  <si>
    <t xml:space="preserve">split-squat-hold-exercise-guide-1024x683.webp</t>
  </si>
  <si>
    <t xml:space="preserve">Split Squat</t>
  </si>
  <si>
    <t xml:space="preserve">calf-raise-hold-exercise-guide-1024x683.webp</t>
  </si>
  <si>
    <t xml:space="preserve">Standing Calf Raise</t>
  </si>
  <si>
    <t xml:space="preserve">Upper Body</t>
  </si>
  <si>
    <t xml:space="preserve">dead-hang-hold-exercise-guide-1024x683.webp</t>
  </si>
  <si>
    <t xml:space="preserve">Dead Hang</t>
  </si>
  <si>
    <t xml:space="preserve">push-up-hold-bottom-position-exercise-guide-1024x683.webp</t>
  </si>
  <si>
    <t xml:space="preserve">Push-Up</t>
  </si>
  <si>
    <t xml:space="preserve">Stray characters in the first panel's text ('heels ts').</t>
  </si>
  <si>
    <t xml:space="preserve">isometric-bicep-curl-hold-exercise-guide-1024x683.webp</t>
  </si>
  <si>
    <t xml:space="preserve">Dumbbell Biceps Curl</t>
  </si>
  <si>
    <t xml:space="preserve">https://exercisemenu.com/how-to-train-deltoids-and-biceps-with-dumbbells/</t>
  </si>
  <si>
    <t xml:space="preserve">Scapular wall slides</t>
  </si>
  <si>
    <t xml:space="preserve">scapular-wall-slide-sequence-1024x725.webp</t>
  </si>
  <si>
    <t xml:space="preserve">Scapular Wall Slide</t>
  </si>
  <si>
    <t xml:space="preserve">Good, detailed image already; a GIF is optional</t>
  </si>
  <si>
    <t xml:space="preserve">Photo sequence fine; typo 'mainain'.</t>
  </si>
  <si>
    <t xml:space="preserve">Shoulder exercises</t>
  </si>
  <si>
    <t xml:space="preserve">standing-dumbbell-press-correct-vs-error-1024x725.webp</t>
  </si>
  <si>
    <t xml:space="preserve">Keep the correct-vs-wrong elbow image. Also fix or replace the comparison image</t>
  </si>
  <si>
    <t xml:space="preserve">The 'Correct' and 'Error' photos show nearly the same elbow position, so the comparison doesn't teach the point.</t>
  </si>
  <si>
    <t xml:space="preserve">lateral-raise-thumb-vs-pinky-grip-1024x683.webp</t>
  </si>
  <si>
    <t xml:space="preserve">Keep the thumb-vs-pinky image</t>
  </si>
  <si>
    <t xml:space="preserve">Clear comparison.</t>
  </si>
  <si>
    <t xml:space="preserve">prone-floor-press-face-pull-substitute-sequence-1024x683.webp</t>
  </si>
  <si>
    <t xml:space="preserve">Prone Floor Press</t>
  </si>
  <si>
    <t xml:space="preserve">Start panel has the arms in different positions.</t>
  </si>
  <si>
    <t xml:space="preserve">Biceps curl exercises</t>
  </si>
  <si>
    <t xml:space="preserve">dumbbell-curl-supination-sequence-1024x768.webp</t>
  </si>
  <si>
    <t xml:space="preserve">Clear, well-labelled sequence.</t>
  </si>
  <si>
    <t xml:space="preserve">https://exercisemenu.com/air-squats/</t>
  </si>
  <si>
    <t xml:space="preserve">How to Do an Air Squat?</t>
  </si>
  <si>
    <t xml:space="preserve">How-to-Do-an-Air-Squat-1024x683.png</t>
  </si>
  <si>
    <t xml:space="preserve">Excellent 7-frame guide with cues and mistakes.</t>
  </si>
  <si>
    <t xml:space="preserve">https://exercisemenu.com/dumbbell-sumo-squat/</t>
  </si>
  <si>
    <t xml:space="preserve">How to Do a Dumbbell Sumo Squat?</t>
  </si>
  <si>
    <t xml:space="preserve">How-to-Do-a-Dumbbell-Sumo-Squat-805x1024.webp</t>
  </si>
  <si>
    <t xml:space="preserve">Side view makes the sumo stance look like a split (one foot forward, one back); the wide stance is not visible.</t>
  </si>
  <si>
    <t xml:space="preserve">https://exercisemenu.com/dumbbell-romanian-deadlift/</t>
  </si>
  <si>
    <t xml:space="preserve">How to Do the Dumbbell Romanian Deadlift?</t>
  </si>
  <si>
    <t xml:space="preserve">dumbbell-romanian-deadlift-form.webp</t>
  </si>
  <si>
    <t xml:space="preserve">Dumbbell Romanian Deadlift</t>
  </si>
  <si>
    <t xml:space="preserve">Clear photo sequence.</t>
  </si>
  <si>
    <t xml:space="preserve">https://exercisemenu.com/how-to-deadlift-for-beginners/</t>
  </si>
  <si>
    <t xml:space="preserve">How to Deadlift: Step-by-Step</t>
  </si>
  <si>
    <t xml:space="preserve">How-to-Deadlift-Step-by-Step-1024x683.webp</t>
  </si>
  <si>
    <t xml:space="preserve">Excellent, detailed three-phase guide.</t>
  </si>
  <si>
    <t xml:space="preserve">https://exercisemenu.com/how-to-trap-bar-deadlift/</t>
  </si>
  <si>
    <t xml:space="preserve">How to Do the Trap Bar Deadlift</t>
  </si>
  <si>
    <t xml:space="preserve">How-to-Do-the-Trap-Bar-Deadlift-1024x512.webp</t>
  </si>
  <si>
    <t xml:space="preserve">Trap Bar Deadlift</t>
  </si>
  <si>
    <t xml:space="preserve">Form fine; the trap bar is drawn without its hexagonal frame.</t>
  </si>
  <si>
    <t xml:space="preserve">https://exercisemenu.com/front-squat-vs-back-squat/</t>
  </si>
  <si>
    <t xml:space="preserve">Front Squat Key Cues</t>
  </si>
  <si>
    <t xml:space="preserve">front-squat.gif</t>
  </si>
  <si>
    <t xml:space="preserve">Front Squat</t>
  </si>
  <si>
    <t xml:space="preserve">Already a 7-frame animated GIF with good form</t>
  </si>
  <si>
    <t xml:space="preserve">Already an animated GIF (7 frames); good form.</t>
  </si>
  <si>
    <t xml:space="preserve">Back Squat Key Cues</t>
  </si>
  <si>
    <t xml:space="preserve">back-squat.gif</t>
  </si>
  <si>
    <t xml:space="preserve">Back Squat</t>
  </si>
  <si>
    <t xml:space="preserve">Already an animated GIF (7 frames).</t>
  </si>
  <si>
    <t xml:space="preserve">https://exercisemenu.com/high-bar-vs-low-bar-squat/</t>
  </si>
  <si>
    <t xml:space="preserve">High Bar Key Cues</t>
  </si>
  <si>
    <t xml:space="preserve">high_bar_back_squat_side_view.gif</t>
  </si>
  <si>
    <t xml:space="preserve">High-Bar Back Squat</t>
  </si>
  <si>
    <t xml:space="preserve">Already a 6-frame animated GIF</t>
  </si>
  <si>
    <t xml:space="preserve">Already an animated GIF (6 frames).</t>
  </si>
  <si>
    <t xml:space="preserve">Low Bar Key Cues</t>
  </si>
  <si>
    <t xml:space="preserve">low_bar_back_squat_side_view.gif</t>
  </si>
  <si>
    <t xml:space="preserve">Low-Bar Back Squat</t>
  </si>
  <si>
    <t xml:space="preserve">https://exercisemenu.com/sumo-vs-conventional-deadlift/</t>
  </si>
  <si>
    <t xml:space="preserve">What Is the Difference Between Sumo and Conventional Deadlift?</t>
  </si>
  <si>
    <t xml:space="preserve">sumo-vs-conventional-deadlift-setup-comparison-1024x683.webp</t>
  </si>
  <si>
    <t xml:space="preserve">Keep the side-by-side setup comparison. Also fix or replace the comparison image</t>
  </si>
  <si>
    <t xml:space="preserve">Conventional side: the bar sits far in front of the shins instead of over mid-foot.</t>
  </si>
  <si>
    <t xml:space="preserve">Conventional side of the comparison</t>
  </si>
  <si>
    <t xml:space="preserve">https://exercisemenu.com/types-of-squats/</t>
  </si>
  <si>
    <t xml:space="preserve">Sumo Squat (Bodyweight)</t>
  </si>
  <si>
    <t xml:space="preserve">Reuse the GIF already on /front-squat-vs-back-squat/</t>
  </si>
  <si>
    <t xml:space="preserve">Workout plan page</t>
  </si>
  <si>
    <t xml:space="preserve">Exercises named in its tables</t>
  </si>
  <si>
    <t xml:space="preserve">What to do</t>
  </si>
  <si>
    <t xml:space="preserve">https://exercisemenu.com/7-day-at-home-workout-plan-to-build-muscle/</t>
  </si>
  <si>
    <t xml:space="preserve">Dumbbell Bench Press, Incline Dumbbell Press, Dumbbell Shoulder Press, Lateral Raise, Triceps Extension, Single-Arm Dumbbell Row, Band Pulldown, Band Face Pull, Dumbbell Curl, Hammer Curl, Goblet Squat, Dumbbell Romanian Deadlift, Walking Lunge, Standing Calf Raise, Bulgarian Split Squat, Hip Thrust, Plank</t>
  </si>
  <si>
    <t xml:space="preserve">No image to replace. Link each exercise name to its exercise page once that page is live.</t>
  </si>
  <si>
    <t xml:space="preserve">https://exercisemenu.com/3-week-beginner-fat-loss-workout-plan-for-women/</t>
  </si>
  <si>
    <t xml:space="preserve">Dumbbell or Band Chest Press, Single-Arm Row, Dumbbell Shoulder Press, Biceps Curl, Triceps Kickback, Goblet Squat, Glute Bridge, Reverse Lunge, Standing Calf Raise, Squat to Press, Bent-Over Row, Plank, Bicycle Crunch</t>
  </si>
  <si>
    <t xml:space="preserve">https://exercisemenu.com/push-pull-legs-split/</t>
  </si>
  <si>
    <t xml:space="preserve">Barbell Bench Press, Incline Dumbbell Press, Overhead Press, Lateral Raise, Triceps Pushdown, Barbell Row, Lat Pulldown, Seated Cable Row, Face Pull, EZ-Bar Curl, Back Squat, Romanian Deadlift, Leg Press, Hip Thrust, Standing Calf Raise</t>
  </si>
  <si>
    <t xml:space="preserve">https://exercisemenu.com/bowling-workout-routine/</t>
  </si>
  <si>
    <t xml:space="preserve">Arm Circles, Walking Lunges, Front Plank, Side Plank, Pallof Press, Dead Bug, Rotational Medicine Ball Slam, Goblet Squat, Split Squat, Single-Leg Romanian Deadlift, Lateral Band Walk, Calf Raises, Band Pull-Apart, Face Pull, Dumbbell Row, External Rotation, Wrist Curls, Reverse Wrist Curls, Farmer's Walk</t>
  </si>
  <si>
    <t xml:space="preserve">https://exercisemenu.com/how-many-reps-and-sets-for-muscle-growth/</t>
  </si>
  <si>
    <t xml:space="preserve">Barbell Bench Press, Barbell Row, Overhead Press, Weighted Pull-Up, Incline Dumbbell Curl, Overhead Triceps Extension, Lateral Raise, Barbell Squat, Romanian Deadlift, Leg Press, Seated Leg Curl, Leg Extension, Standing Calf Raise</t>
  </si>
  <si>
    <t xml:space="preserve">https://exercisemenu.com/how-many-reps-and-sets-for-muscular-endurance/</t>
  </si>
  <si>
    <t xml:space="preserve">Push-Up, Bodyweight Squat, Walking Lunge, Plank, Leg Raise, Calf Raise, Dumbbell Chest Press, Dumbbell Row, Dumbbell Overhead Press, Cable Face Pull, Wall Sit, Isometric Lunge Hold, Dead Hang</t>
  </si>
  <si>
    <t xml:space="preserve">https://exercisemenu.com/reps-and-sets-for-couples/</t>
  </si>
  <si>
    <t xml:space="preserve">Goblet Squat, Dumbbell Bench Press, Dumbbell Row, Romanian Deadlift, Plank</t>
  </si>
  <si>
    <t xml:space="preserve">https://exercisemenu.com/how-to-structure-a-30-minute-workout/</t>
  </si>
  <si>
    <t xml:space="preserve">Bodyweight or Goblet Squat, Push-Up Variation, Single-Leg or Band Hip Hinge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</si>
</sst>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ymvisual.com/animated-gifs/10176-dead-bug-with-medicine-ball-male.html" TargetMode="External"/><Relationship Id="rId2" Type="http://schemas.openxmlformats.org/officeDocument/2006/relationships/hyperlink" Target="https://gymvisual.com/animated-gifs/13026-medicine-ball-lying-leg-raise.html" TargetMode="External"/><Relationship Id="rId3" Type="http://schemas.openxmlformats.org/officeDocument/2006/relationships/hyperlink" Target="https://gymvisual.com/animated-gifs/3125-medicine-ball-overhead-slam.html" TargetMode="External"/><Relationship Id="rId4" Type="http://schemas.openxmlformats.org/officeDocument/2006/relationships/hyperlink" Target="https://gymvisual.com/animated-gifs/13860-medicine-ball-chest-pass-against-wall.html" TargetMode="External"/><Relationship Id="rId5" Type="http://schemas.openxmlformats.org/officeDocument/2006/relationships/hyperlink" Target="https://gymvisual.com/animated-gifs/2691-russian-twist-with-medicine-ball.html" TargetMode="External"/><Relationship Id="rId6" Type="http://schemas.openxmlformats.org/officeDocument/2006/relationships/hyperlink" Target="https://gymvisual.com/animated-gifs/5492-wall-ball.html" TargetMode="External"/><Relationship Id="rId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xercisemenu.com/exercises-with-a-medicine-ball-for-beginners/" TargetMode="External"/><Relationship Id="rId2" Type="http://schemas.openxmlformats.org/officeDocument/2006/relationships/hyperlink" Target="https://exercisemenu.com/exercises-with-a-medicine-ball-for-beginners/" TargetMode="External"/><Relationship Id="rId3" Type="http://schemas.openxmlformats.org/officeDocument/2006/relationships/hyperlink" Target="https://exercisemenu.com/exercises-with-a-medicine-ball-for-beginners/" TargetMode="External"/><Relationship Id="rId4" Type="http://schemas.openxmlformats.org/officeDocument/2006/relationships/hyperlink" Target="https://exercisemenu.com/exercises-with-a-medicine-ball-for-beginners/" TargetMode="External"/><Relationship Id="rId5" Type="http://schemas.openxmlformats.org/officeDocument/2006/relationships/hyperlink" Target="https://exercisemenu.com/exercises-with-a-medicine-ball-for-beginners/" TargetMode="External"/><Relationship Id="rId6" Type="http://schemas.openxmlformats.org/officeDocument/2006/relationships/hyperlink" Target="https://exercisemenu.com/exercises-with-a-medicine-ball-for-beginners/" TargetMode="External"/><Relationship Id="rId7" Type="http://schemas.openxmlformats.org/officeDocument/2006/relationships/hyperlink" Target="https://exercisemenu.com/exercises-with-a-medicine-ball-for-beginners/" TargetMode="External"/><Relationship Id="rId8" Type="http://schemas.openxmlformats.org/officeDocument/2006/relationships/hyperlink" Target="https://exercisemenu.com/exercises-with-a-medicine-ball-for-beginners/" TargetMode="External"/><Relationship Id="rId9" Type="http://schemas.openxmlformats.org/officeDocument/2006/relationships/hyperlink" Target="https://exercisemenu.com/exercises-with-a-medicine-ball-for-beginners/" TargetMode="External"/><Relationship Id="rId10" Type="http://schemas.openxmlformats.org/officeDocument/2006/relationships/hyperlink" Target="https://exercisemenu.com/exercises-with-a-medicine-ball-for-beginners/" TargetMode="External"/><Relationship Id="rId11" Type="http://schemas.openxmlformats.org/officeDocument/2006/relationships/hyperlink" Target="https://exercisemenu.com/exercises-with-a-medicine-ball-for-beginners/" TargetMode="External"/><Relationship Id="rId12" Type="http://schemas.openxmlformats.org/officeDocument/2006/relationships/hyperlink" Target="https://exercisemenu.com/exercises-with-a-medicine-ball-for-beginners/" TargetMode="External"/><Relationship Id="rId13" Type="http://schemas.openxmlformats.org/officeDocument/2006/relationships/hyperlink" Target="https://exercisemenu.com/medicine-ball-ab-exercises/" TargetMode="External"/><Relationship Id="rId14" Type="http://schemas.openxmlformats.org/officeDocument/2006/relationships/hyperlink" Target="https://exercisemenu.com/medicine-ball-ab-exercises/" TargetMode="External"/><Relationship Id="rId15" Type="http://schemas.openxmlformats.org/officeDocument/2006/relationships/hyperlink" Target="https://exercisemenu.com/medicine-ball-ab-exercises/" TargetMode="External"/><Relationship Id="rId16" Type="http://schemas.openxmlformats.org/officeDocument/2006/relationships/hyperlink" Target="https://exercisemenu.com/medicine-ball-ab-exercises/" TargetMode="External"/><Relationship Id="rId17" Type="http://schemas.openxmlformats.org/officeDocument/2006/relationships/hyperlink" Target="https://exercisemenu.com/medicine-ball-ab-exercises/" TargetMode="External"/><Relationship Id="rId18" Type="http://schemas.openxmlformats.org/officeDocument/2006/relationships/hyperlink" Target="https://exercisemenu.com/medicine-ball-ab-exercises/" TargetMode="External"/><Relationship Id="rId19" Type="http://schemas.openxmlformats.org/officeDocument/2006/relationships/hyperlink" Target="https://exercisemenu.com/medicine-ball-ab-exercises/" TargetMode="External"/><Relationship Id="rId20" Type="http://schemas.openxmlformats.org/officeDocument/2006/relationships/hyperlink" Target="https://exercisemenu.com/medicine-ball-ab-exercises/" TargetMode="External"/><Relationship Id="rId21" Type="http://schemas.openxmlformats.org/officeDocument/2006/relationships/hyperlink" Target="https://exercisemenu.com/medicine-ball-ab-exercises/" TargetMode="External"/><Relationship Id="rId22" Type="http://schemas.openxmlformats.org/officeDocument/2006/relationships/hyperlink" Target="https://exercisemenu.com/medicine-ball-ab-exercises/" TargetMode="External"/><Relationship Id="rId23" Type="http://schemas.openxmlformats.org/officeDocument/2006/relationships/hyperlink" Target="https://exercisemenu.com/medicine-ball-exercises-for-lower-abs/" TargetMode="External"/><Relationship Id="rId24" Type="http://schemas.openxmlformats.org/officeDocument/2006/relationships/hyperlink" Target="https://exercisemenu.com/medicine-ball-exercises-for-lower-abs/" TargetMode="External"/><Relationship Id="rId25" Type="http://schemas.openxmlformats.org/officeDocument/2006/relationships/hyperlink" Target="https://exercisemenu.com/medicine-ball-exercises-for-lower-abs/" TargetMode="External"/><Relationship Id="rId26" Type="http://schemas.openxmlformats.org/officeDocument/2006/relationships/hyperlink" Target="https://exercisemenu.com/medicine-ball-exercises-for-lower-abs/" TargetMode="External"/><Relationship Id="rId27" Type="http://schemas.openxmlformats.org/officeDocument/2006/relationships/hyperlink" Target="https://exercisemenu.com/medicine-ball-exercises-for-lower-abs/" TargetMode="External"/><Relationship Id="rId28" Type="http://schemas.openxmlformats.org/officeDocument/2006/relationships/hyperlink" Target="https://exercisemenu.com/medicine-ball-exercises-for-lower-abs/" TargetMode="External"/><Relationship Id="rId29" Type="http://schemas.openxmlformats.org/officeDocument/2006/relationships/hyperlink" Target="https://exercisemenu.com/medicine-ball-exercises-for-lower-abs/" TargetMode="External"/><Relationship Id="rId30" Type="http://schemas.openxmlformats.org/officeDocument/2006/relationships/hyperlink" Target="https://exercisemenu.com/medicine-ball-exercises-for-lower-abs/" TargetMode="External"/><Relationship Id="rId31" Type="http://schemas.openxmlformats.org/officeDocument/2006/relationships/hyperlink" Target="https://exercisemenu.com/medicine-ball-exercises-for-lower-abs/" TargetMode="External"/><Relationship Id="rId32" Type="http://schemas.openxmlformats.org/officeDocument/2006/relationships/hyperlink" Target="https://exercisemenu.com/medicine-ball-exercises-for-lower-abs/" TargetMode="External"/><Relationship Id="rId33" Type="http://schemas.openxmlformats.org/officeDocument/2006/relationships/hyperlink" Target="https://exercisemenu.com/10-medicine-ball-exercises-for-legs/" TargetMode="External"/><Relationship Id="rId34" Type="http://schemas.openxmlformats.org/officeDocument/2006/relationships/hyperlink" Target="https://exercisemenu.com/10-medicine-ball-exercises-for-legs/" TargetMode="External"/><Relationship Id="rId35" Type="http://schemas.openxmlformats.org/officeDocument/2006/relationships/hyperlink" Target="https://exercisemenu.com/10-medicine-ball-exercises-for-legs/" TargetMode="External"/><Relationship Id="rId36" Type="http://schemas.openxmlformats.org/officeDocument/2006/relationships/hyperlink" Target="https://exercisemenu.com/10-medicine-ball-exercises-for-legs/" TargetMode="External"/><Relationship Id="rId37" Type="http://schemas.openxmlformats.org/officeDocument/2006/relationships/hyperlink" Target="https://exercisemenu.com/10-medicine-ball-exercises-for-legs/" TargetMode="External"/><Relationship Id="rId38" Type="http://schemas.openxmlformats.org/officeDocument/2006/relationships/hyperlink" Target="https://exercisemenu.com/10-medicine-ball-exercises-for-legs/" TargetMode="External"/><Relationship Id="rId39" Type="http://schemas.openxmlformats.org/officeDocument/2006/relationships/hyperlink" Target="https://exercisemenu.com/10-medicine-ball-exercises-for-legs/" TargetMode="External"/><Relationship Id="rId40" Type="http://schemas.openxmlformats.org/officeDocument/2006/relationships/hyperlink" Target="https://exercisemenu.com/10-medicine-ball-exercises-for-legs/" TargetMode="External"/><Relationship Id="rId41" Type="http://schemas.openxmlformats.org/officeDocument/2006/relationships/hyperlink" Target="https://exercisemenu.com/10-medicine-ball-exercises-for-legs/" TargetMode="External"/><Relationship Id="rId42" Type="http://schemas.openxmlformats.org/officeDocument/2006/relationships/hyperlink" Target="https://exercisemenu.com/10-medicine-ball-exercises-for-legs/" TargetMode="External"/><Relationship Id="rId43" Type="http://schemas.openxmlformats.org/officeDocument/2006/relationships/hyperlink" Target="https://exercisemenu.com/10-medicine-ball-chest-exercises/" TargetMode="External"/><Relationship Id="rId44" Type="http://schemas.openxmlformats.org/officeDocument/2006/relationships/hyperlink" Target="https://exercisemenu.com/10-medicine-ball-chest-exercises/" TargetMode="External"/><Relationship Id="rId45" Type="http://schemas.openxmlformats.org/officeDocument/2006/relationships/hyperlink" Target="https://exercisemenu.com/10-medicine-ball-chest-exercises/" TargetMode="External"/><Relationship Id="rId46" Type="http://schemas.openxmlformats.org/officeDocument/2006/relationships/hyperlink" Target="https://exercisemenu.com/10-medicine-ball-chest-exercises/" TargetMode="External"/><Relationship Id="rId47" Type="http://schemas.openxmlformats.org/officeDocument/2006/relationships/hyperlink" Target="https://exercisemenu.com/10-medicine-ball-chest-exercises/" TargetMode="External"/><Relationship Id="rId48" Type="http://schemas.openxmlformats.org/officeDocument/2006/relationships/hyperlink" Target="https://exercisemenu.com/10-medicine-ball-chest-exercises/" TargetMode="External"/><Relationship Id="rId49" Type="http://schemas.openxmlformats.org/officeDocument/2006/relationships/hyperlink" Target="https://exercisemenu.com/10-medicine-ball-chest-exercises/" TargetMode="External"/><Relationship Id="rId50" Type="http://schemas.openxmlformats.org/officeDocument/2006/relationships/hyperlink" Target="https://exercisemenu.com/10-medicine-ball-chest-exercises/" TargetMode="External"/><Relationship Id="rId51" Type="http://schemas.openxmlformats.org/officeDocument/2006/relationships/hyperlink" Target="https://exercisemenu.com/10-medicine-ball-chest-exercises/" TargetMode="External"/><Relationship Id="rId52" Type="http://schemas.openxmlformats.org/officeDocument/2006/relationships/hyperlink" Target="https://exercisemenu.com/10-medicine-ball-chest-exercises/" TargetMode="External"/><Relationship Id="rId53" Type="http://schemas.openxmlformats.org/officeDocument/2006/relationships/hyperlink" Target="https://exercisemenu.com/10-medicine-ball-exercises-for-back/" TargetMode="External"/><Relationship Id="rId54" Type="http://schemas.openxmlformats.org/officeDocument/2006/relationships/hyperlink" Target="https://exercisemenu.com/10-medicine-ball-exercises-for-back/" TargetMode="External"/><Relationship Id="rId55" Type="http://schemas.openxmlformats.org/officeDocument/2006/relationships/hyperlink" Target="https://exercisemenu.com/10-medicine-ball-exercises-for-back/" TargetMode="External"/><Relationship Id="rId56" Type="http://schemas.openxmlformats.org/officeDocument/2006/relationships/hyperlink" Target="https://exercisemenu.com/10-medicine-ball-exercises-for-back/" TargetMode="External"/><Relationship Id="rId57" Type="http://schemas.openxmlformats.org/officeDocument/2006/relationships/hyperlink" Target="https://exercisemenu.com/10-medicine-ball-exercises-for-back/" TargetMode="External"/><Relationship Id="rId58" Type="http://schemas.openxmlformats.org/officeDocument/2006/relationships/hyperlink" Target="https://exercisemenu.com/10-medicine-ball-exercises-for-back/" TargetMode="External"/><Relationship Id="rId59" Type="http://schemas.openxmlformats.org/officeDocument/2006/relationships/hyperlink" Target="https://exercisemenu.com/10-medicine-ball-exercises-for-back/" TargetMode="External"/><Relationship Id="rId60" Type="http://schemas.openxmlformats.org/officeDocument/2006/relationships/hyperlink" Target="https://exercisemenu.com/10-medicine-ball-exercises-for-back/" TargetMode="External"/><Relationship Id="rId61" Type="http://schemas.openxmlformats.org/officeDocument/2006/relationships/hyperlink" Target="https://exercisemenu.com/10-medicine-ball-exercises-for-back/" TargetMode="External"/><Relationship Id="rId62" Type="http://schemas.openxmlformats.org/officeDocument/2006/relationships/hyperlink" Target="https://exercisemenu.com/10-medicine-ball-exercises-for-back/" TargetMode="External"/><Relationship Id="rId63" Type="http://schemas.openxmlformats.org/officeDocument/2006/relationships/hyperlink" Target="https://exercisemenu.com/10-medicine-ball-exercises-for-arms/" TargetMode="External"/><Relationship Id="rId64" Type="http://schemas.openxmlformats.org/officeDocument/2006/relationships/hyperlink" Target="https://exercisemenu.com/10-medicine-ball-exercises-for-arms/" TargetMode="External"/><Relationship Id="rId65" Type="http://schemas.openxmlformats.org/officeDocument/2006/relationships/hyperlink" Target="https://exercisemenu.com/10-medicine-ball-exercises-for-arms/" TargetMode="External"/><Relationship Id="rId66" Type="http://schemas.openxmlformats.org/officeDocument/2006/relationships/hyperlink" Target="https://exercisemenu.com/10-medicine-ball-exercises-for-arms/" TargetMode="External"/><Relationship Id="rId67" Type="http://schemas.openxmlformats.org/officeDocument/2006/relationships/hyperlink" Target="https://exercisemenu.com/10-medicine-ball-exercises-for-arms/" TargetMode="External"/><Relationship Id="rId68" Type="http://schemas.openxmlformats.org/officeDocument/2006/relationships/hyperlink" Target="https://exercisemenu.com/10-medicine-ball-exercises-for-arms/" TargetMode="External"/><Relationship Id="rId69" Type="http://schemas.openxmlformats.org/officeDocument/2006/relationships/hyperlink" Target="https://exercisemenu.com/10-medicine-ball-exercises-for-arms/" TargetMode="External"/><Relationship Id="rId70" Type="http://schemas.openxmlformats.org/officeDocument/2006/relationships/hyperlink" Target="https://exercisemenu.com/10-medicine-ball-exercises-for-arms/" TargetMode="External"/><Relationship Id="rId71" Type="http://schemas.openxmlformats.org/officeDocument/2006/relationships/hyperlink" Target="https://exercisemenu.com/10-medicine-ball-exercises-for-arms/" TargetMode="External"/><Relationship Id="rId72" Type="http://schemas.openxmlformats.org/officeDocument/2006/relationships/hyperlink" Target="https://exercisemenu.com/10-medicine-ball-exercises-for-arms/" TargetMode="External"/><Relationship Id="rId73" Type="http://schemas.openxmlformats.org/officeDocument/2006/relationships/hyperlink" Target="https://exercisemenu.com/medicine-ball-exercises-for-shoulders/" TargetMode="External"/><Relationship Id="rId74" Type="http://schemas.openxmlformats.org/officeDocument/2006/relationships/hyperlink" Target="https://exercisemenu.com/medicine-ball-exercises-for-shoulders/" TargetMode="External"/><Relationship Id="rId75" Type="http://schemas.openxmlformats.org/officeDocument/2006/relationships/hyperlink" Target="https://exercisemenu.com/medicine-ball-exercises-for-shoulders/" TargetMode="External"/><Relationship Id="rId76" Type="http://schemas.openxmlformats.org/officeDocument/2006/relationships/hyperlink" Target="https://exercisemenu.com/medicine-ball-exercises-for-shoulders/" TargetMode="External"/><Relationship Id="rId77" Type="http://schemas.openxmlformats.org/officeDocument/2006/relationships/hyperlink" Target="https://exercisemenu.com/medicine-ball-exercises-for-shoulders/" TargetMode="External"/><Relationship Id="rId78" Type="http://schemas.openxmlformats.org/officeDocument/2006/relationships/hyperlink" Target="https://exercisemenu.com/medicine-ball-exercises-for-shoulders/" TargetMode="External"/><Relationship Id="rId79" Type="http://schemas.openxmlformats.org/officeDocument/2006/relationships/hyperlink" Target="https://exercisemenu.com/medicine-ball-exercises-for-shoulders/" TargetMode="External"/><Relationship Id="rId80" Type="http://schemas.openxmlformats.org/officeDocument/2006/relationships/hyperlink" Target="https://exercisemenu.com/medicine-ball-exercises-for-shoulders/" TargetMode="External"/><Relationship Id="rId81" Type="http://schemas.openxmlformats.org/officeDocument/2006/relationships/hyperlink" Target="https://exercisemenu.com/medicine-ball-exercises-for-shoulders/" TargetMode="External"/><Relationship Id="rId82" Type="http://schemas.openxmlformats.org/officeDocument/2006/relationships/hyperlink" Target="https://exercisemenu.com/medicine-ball-exercises-for-shoulders/" TargetMode="External"/><Relationship Id="rId83" Type="http://schemas.openxmlformats.org/officeDocument/2006/relationships/hyperlink" Target="https://exercisemenu.com/partner-medicine-ball-exercises/" TargetMode="External"/><Relationship Id="rId84" Type="http://schemas.openxmlformats.org/officeDocument/2006/relationships/hyperlink" Target="https://exercisemenu.com/partner-medicine-ball-exercises/" TargetMode="External"/><Relationship Id="rId85" Type="http://schemas.openxmlformats.org/officeDocument/2006/relationships/hyperlink" Target="https://exercisemenu.com/partner-medicine-ball-exercises/" TargetMode="External"/><Relationship Id="rId86" Type="http://schemas.openxmlformats.org/officeDocument/2006/relationships/hyperlink" Target="https://exercisemenu.com/partner-medicine-ball-exercises/" TargetMode="External"/><Relationship Id="rId87" Type="http://schemas.openxmlformats.org/officeDocument/2006/relationships/hyperlink" Target="https://exercisemenu.com/partner-medicine-ball-exercises/" TargetMode="External"/><Relationship Id="rId88" Type="http://schemas.openxmlformats.org/officeDocument/2006/relationships/hyperlink" Target="https://exercisemenu.com/partner-medicine-ball-exercises/" TargetMode="External"/><Relationship Id="rId89" Type="http://schemas.openxmlformats.org/officeDocument/2006/relationships/hyperlink" Target="https://exercisemenu.com/partner-medicine-ball-exercises/" TargetMode="External"/><Relationship Id="rId90" Type="http://schemas.openxmlformats.org/officeDocument/2006/relationships/hyperlink" Target="https://exercisemenu.com/partner-medicine-ball-exercises/" TargetMode="External"/><Relationship Id="rId91" Type="http://schemas.openxmlformats.org/officeDocument/2006/relationships/hyperlink" Target="https://exercisemenu.com/partner-medicine-ball-exercises/" TargetMode="External"/><Relationship Id="rId92" Type="http://schemas.openxmlformats.org/officeDocument/2006/relationships/hyperlink" Target="https://exercisemenu.com/partner-medicine-ball-exercises/" TargetMode="External"/><Relationship Id="rId93" Type="http://schemas.openxmlformats.org/officeDocument/2006/relationships/hyperlink" Target="https://exercisemenu.com/10-medicine-ball-exercises-for-kids-under-12/" TargetMode="External"/><Relationship Id="rId94" Type="http://schemas.openxmlformats.org/officeDocument/2006/relationships/hyperlink" Target="https://exercisemenu.com/10-medicine-ball-exercises-for-kids-under-12/" TargetMode="External"/><Relationship Id="rId95" Type="http://schemas.openxmlformats.org/officeDocument/2006/relationships/hyperlink" Target="https://exercisemenu.com/10-medicine-ball-exercises-for-kids-under-12/" TargetMode="External"/><Relationship Id="rId96" Type="http://schemas.openxmlformats.org/officeDocument/2006/relationships/hyperlink" Target="https://exercisemenu.com/10-medicine-ball-exercises-for-kids-under-12/" TargetMode="External"/><Relationship Id="rId97" Type="http://schemas.openxmlformats.org/officeDocument/2006/relationships/hyperlink" Target="https://exercisemenu.com/10-medicine-ball-exercises-for-kids-under-12/" TargetMode="External"/><Relationship Id="rId98" Type="http://schemas.openxmlformats.org/officeDocument/2006/relationships/hyperlink" Target="https://exercisemenu.com/10-medicine-ball-exercises-for-kids-under-12/" TargetMode="External"/><Relationship Id="rId99" Type="http://schemas.openxmlformats.org/officeDocument/2006/relationships/hyperlink" Target="https://exercisemenu.com/10-medicine-ball-exercises-for-kids-under-12/" TargetMode="External"/><Relationship Id="rId100" Type="http://schemas.openxmlformats.org/officeDocument/2006/relationships/hyperlink" Target="https://exercisemenu.com/10-medicine-ball-exercises-for-kids-under-12/" TargetMode="External"/><Relationship Id="rId101" Type="http://schemas.openxmlformats.org/officeDocument/2006/relationships/hyperlink" Target="https://exercisemenu.com/10-medicine-ball-exercises-for-kids-under-12/" TargetMode="External"/><Relationship Id="rId102" Type="http://schemas.openxmlformats.org/officeDocument/2006/relationships/hyperlink" Target="https://exercisemenu.com/10-medicine-ball-exercises-for-kids-under-12/" TargetMode="External"/><Relationship Id="rId103" Type="http://schemas.openxmlformats.org/officeDocument/2006/relationships/hyperlink" Target="https://exercisemenu.com/cable-chest-exercises-10-best-moves/" TargetMode="External"/><Relationship Id="rId104" Type="http://schemas.openxmlformats.org/officeDocument/2006/relationships/hyperlink" Target="https://exercisemenu.com/cable-chest-exercises-10-best-moves/" TargetMode="External"/><Relationship Id="rId105" Type="http://schemas.openxmlformats.org/officeDocument/2006/relationships/hyperlink" Target="https://exercisemenu.com/cable-chest-exercises-10-best-moves/" TargetMode="External"/><Relationship Id="rId106" Type="http://schemas.openxmlformats.org/officeDocument/2006/relationships/hyperlink" Target="https://exercisemenu.com/cable-chest-exercises-10-best-moves/" TargetMode="External"/><Relationship Id="rId107" Type="http://schemas.openxmlformats.org/officeDocument/2006/relationships/hyperlink" Target="https://exercisemenu.com/cable-chest-exercises-10-best-moves/" TargetMode="External"/><Relationship Id="rId108" Type="http://schemas.openxmlformats.org/officeDocument/2006/relationships/hyperlink" Target="https://exercisemenu.com/cable-chest-exercises-10-best-moves/" TargetMode="External"/><Relationship Id="rId109" Type="http://schemas.openxmlformats.org/officeDocument/2006/relationships/hyperlink" Target="https://exercisemenu.com/cable-chest-exercises-10-best-moves/" TargetMode="External"/><Relationship Id="rId110" Type="http://schemas.openxmlformats.org/officeDocument/2006/relationships/hyperlink" Target="https://exercisemenu.com/cable-chest-exercises-10-best-moves/" TargetMode="External"/><Relationship Id="rId111" Type="http://schemas.openxmlformats.org/officeDocument/2006/relationships/hyperlink" Target="https://exercisemenu.com/cable-chest-exercises-10-best-moves/" TargetMode="External"/><Relationship Id="rId112" Type="http://schemas.openxmlformats.org/officeDocument/2006/relationships/hyperlink" Target="https://exercisemenu.com/cable-chest-exercises-10-best-moves/" TargetMode="External"/><Relationship Id="rId113" Type="http://schemas.openxmlformats.org/officeDocument/2006/relationships/hyperlink" Target="https://exercisemenu.com/isometric-exercises/" TargetMode="External"/><Relationship Id="rId114" Type="http://schemas.openxmlformats.org/officeDocument/2006/relationships/hyperlink" Target="https://exercisemenu.com/isometric-exercises/" TargetMode="External"/><Relationship Id="rId115" Type="http://schemas.openxmlformats.org/officeDocument/2006/relationships/hyperlink" Target="https://exercisemenu.com/isometric-exercises/" TargetMode="External"/><Relationship Id="rId116" Type="http://schemas.openxmlformats.org/officeDocument/2006/relationships/hyperlink" Target="https://exercisemenu.com/isometric-exercises/" TargetMode="External"/><Relationship Id="rId117" Type="http://schemas.openxmlformats.org/officeDocument/2006/relationships/hyperlink" Target="https://exercisemenu.com/isometric-exercises/" TargetMode="External"/><Relationship Id="rId118" Type="http://schemas.openxmlformats.org/officeDocument/2006/relationships/hyperlink" Target="https://exercisemenu.com/isometric-exercises/" TargetMode="External"/><Relationship Id="rId119" Type="http://schemas.openxmlformats.org/officeDocument/2006/relationships/hyperlink" Target="https://exercisemenu.com/isometric-exercises/" TargetMode="External"/><Relationship Id="rId120" Type="http://schemas.openxmlformats.org/officeDocument/2006/relationships/hyperlink" Target="https://exercisemenu.com/isometric-exercises/" TargetMode="External"/><Relationship Id="rId121" Type="http://schemas.openxmlformats.org/officeDocument/2006/relationships/hyperlink" Target="https://exercisemenu.com/isometric-exercises/" TargetMode="External"/><Relationship Id="rId122" Type="http://schemas.openxmlformats.org/officeDocument/2006/relationships/hyperlink" Target="https://exercisemenu.com/isometric-exercises/" TargetMode="External"/><Relationship Id="rId123" Type="http://schemas.openxmlformats.org/officeDocument/2006/relationships/hyperlink" Target="https://exercisemenu.com/how-to-train-deltoids-and-biceps-with-dumbbells/" TargetMode="External"/><Relationship Id="rId124" Type="http://schemas.openxmlformats.org/officeDocument/2006/relationships/hyperlink" Target="https://exercisemenu.com/how-to-train-deltoids-and-biceps-with-dumbbells/" TargetMode="External"/><Relationship Id="rId125" Type="http://schemas.openxmlformats.org/officeDocument/2006/relationships/hyperlink" Target="https://exercisemenu.com/how-to-train-deltoids-and-biceps-with-dumbbells/" TargetMode="External"/><Relationship Id="rId126" Type="http://schemas.openxmlformats.org/officeDocument/2006/relationships/hyperlink" Target="https://exercisemenu.com/how-to-train-deltoids-and-biceps-with-dumbbells/" TargetMode="External"/><Relationship Id="rId127" Type="http://schemas.openxmlformats.org/officeDocument/2006/relationships/hyperlink" Target="https://exercisemenu.com/how-to-train-deltoids-and-biceps-with-dumbbells/" TargetMode="External"/><Relationship Id="rId128" Type="http://schemas.openxmlformats.org/officeDocument/2006/relationships/hyperlink" Target="https://exercisemenu.com/air-squats/" TargetMode="External"/><Relationship Id="rId129" Type="http://schemas.openxmlformats.org/officeDocument/2006/relationships/hyperlink" Target="https://exercisemenu.com/dumbbell-sumo-squat/" TargetMode="External"/><Relationship Id="rId130" Type="http://schemas.openxmlformats.org/officeDocument/2006/relationships/hyperlink" Target="https://exercisemenu.com/dumbbell-romanian-deadlift/" TargetMode="External"/><Relationship Id="rId131" Type="http://schemas.openxmlformats.org/officeDocument/2006/relationships/hyperlink" Target="https://exercisemenu.com/how-to-deadlift-for-beginners/" TargetMode="External"/><Relationship Id="rId132" Type="http://schemas.openxmlformats.org/officeDocument/2006/relationships/hyperlink" Target="https://exercisemenu.com/how-to-trap-bar-deadlift/" TargetMode="External"/><Relationship Id="rId133" Type="http://schemas.openxmlformats.org/officeDocument/2006/relationships/hyperlink" Target="https://exercisemenu.com/front-squat-vs-back-squat/" TargetMode="External"/><Relationship Id="rId134" Type="http://schemas.openxmlformats.org/officeDocument/2006/relationships/hyperlink" Target="https://exercisemenu.com/front-squat-vs-back-squat/" TargetMode="External"/><Relationship Id="rId135" Type="http://schemas.openxmlformats.org/officeDocument/2006/relationships/hyperlink" Target="https://exercisemenu.com/high-bar-vs-low-bar-squat/" TargetMode="External"/><Relationship Id="rId136" Type="http://schemas.openxmlformats.org/officeDocument/2006/relationships/hyperlink" Target="https://exercisemenu.com/high-bar-vs-low-bar-squat/" TargetMode="External"/><Relationship Id="rId137" Type="http://schemas.openxmlformats.org/officeDocument/2006/relationships/hyperlink" Target="https://exercisemenu.com/sumo-vs-conventional-deadlift/" TargetMode="External"/><Relationship Id="rId138" Type="http://schemas.openxmlformats.org/officeDocument/2006/relationships/hyperlink" Target="https://exercisemenu.com/sumo-vs-conventional-deadlift/" TargetMode="External"/><Relationship Id="rId139" Type="http://schemas.openxmlformats.org/officeDocument/2006/relationships/hyperlink" Target="https://exercisemenu.com/types-of-squats/" TargetMode="External"/><Relationship Id="rId140" Type="http://schemas.openxmlformats.org/officeDocument/2006/relationships/hyperlink" Target="https://exercisemenu.com/types-of-squats/" TargetMode="External"/><Relationship Id="rId141" Type="http://schemas.openxmlformats.org/officeDocument/2006/relationships/hyperlink" Target="https://exercisemenu.com/types-of-squats/" TargetMode="External"/><Relationship Id="rId142" Type="http://schemas.openxmlformats.org/officeDocument/2006/relationships/hyperlink" Target="https://exercisemenu.com/types-of-squats/" TargetMode="External"/><Relationship Id="rId143" Type="http://schemas.openxmlformats.org/officeDocument/2006/relationships/hyperlink" Target="https://exercisemenu.com/types-of-squats/" TargetMode="External"/><Relationship Id="rId144" Type="http://schemas.openxmlformats.org/officeDocument/2006/relationships/hyperlink" Target="https://exercisemenu.com/types-of-squats/" TargetMode="External"/><Relationship Id="rId145" Type="http://schemas.openxmlformats.org/officeDocument/2006/relationships/hyperlink" Target="https://exercisemenu.com/types-of-squats/" TargetMode="External"/><Relationship Id="rId146" Type="http://schemas.openxmlformats.org/officeDocument/2006/relationships/hyperlink" Target="https://exercisemenu.com/types-of-squats/" TargetMode="External"/><Relationship Id="rId147" Type="http://schemas.openxmlformats.org/officeDocument/2006/relationships/hyperlink" Target="https://exercisemenu.com/types-of-squats/" TargetMode="External"/><Relationship Id="rId148" Type="http://schemas.openxmlformats.org/officeDocument/2006/relationships/hyperlink" Target="https://exercisemenu.com/types-of-squats/" TargetMode="External"/><Relationship Id="rId149" Type="http://schemas.openxmlformats.org/officeDocument/2006/relationships/hyperlink" Target="https://exercisemenu.com/types-of-squats/" TargetMode="External"/><Relationship Id="rId150" Type="http://schemas.openxmlformats.org/officeDocument/2006/relationships/hyperlink" Target="https://exercisemenu.com/types-of-squats/" TargetMode="External"/><Relationship Id="rId151" Type="http://schemas.openxmlformats.org/officeDocument/2006/relationships/hyperlink" Target="https://exercisemenu.com/types-of-squats/" TargetMode="External"/><Relationship Id="rId152" Type="http://schemas.openxmlformats.org/officeDocument/2006/relationships/hyperlink" Target="https://exercisemenu.com/types-of-squats/" TargetMode="External"/><Relationship Id="rId153" Type="http://schemas.openxmlformats.org/officeDocument/2006/relationships/hyperlink" Target="https://exercisemenu.com/types-of-squats/" TargetMode="External"/><Relationship Id="rId154" Type="http://schemas.openxmlformats.org/officeDocument/2006/relationships/hyperlink" Target="https://exercisemenu.com/types-of-squats/" TargetMode="External"/><Relationship Id="rId155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xercisemenu.com/7-day-at-home-workout-plan-to-build-muscle/" TargetMode="External"/><Relationship Id="rId2" Type="http://schemas.openxmlformats.org/officeDocument/2006/relationships/hyperlink" Target="https://exercisemenu.com/3-week-beginner-fat-loss-workout-plan-for-women/" TargetMode="External"/><Relationship Id="rId3" Type="http://schemas.openxmlformats.org/officeDocument/2006/relationships/hyperlink" Target="https://exercisemenu.com/push-pull-legs-split/" TargetMode="External"/><Relationship Id="rId4" Type="http://schemas.openxmlformats.org/officeDocument/2006/relationships/hyperlink" Target="https://exercisemenu.com/bowling-workout-routine/" TargetMode="External"/><Relationship Id="rId5" Type="http://schemas.openxmlformats.org/officeDocument/2006/relationships/hyperlink" Target="https://exercisemenu.com/how-many-reps-and-sets-for-muscle-growth/" TargetMode="External"/><Relationship Id="rId6" Type="http://schemas.openxmlformats.org/officeDocument/2006/relationships/hyperlink" Target="https://exercisemenu.com/how-many-reps-and-sets-for-muscular-endurance/" TargetMode="External"/><Relationship Id="rId7" Type="http://schemas.openxmlformats.org/officeDocument/2006/relationships/hyperlink" Target="https://exercisemenu.com/reps-and-sets-for-couples/" TargetMode="External"/><Relationship Id="rId8" Type="http://schemas.openxmlformats.org/officeDocument/2006/relationships/hyperlink" Target="https://exercisemenu.com/how-to-structure-a-30-minute-workou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/>
      <c r="B1" s="2" t="s">
        <v>0</v>
      </c>
      <c r="C1" s="1"/>
      <c r="D1" s="1"/>
    </row>
    <row r="2" customFormat="false" ht="15" hidden="false" customHeight="false" outlineLevel="0" collapsed="false">
      <c r="A2" s="1"/>
      <c r="B2" s="3" t="s">
        <v>1</v>
      </c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1"/>
      <c r="B4" s="1" t="s">
        <v>2</v>
      </c>
      <c r="C4" s="4" t="n">
        <v>3.6</v>
      </c>
      <c r="D4" s="1" t="s">
        <v>3</v>
      </c>
    </row>
    <row r="5" customFormat="false" ht="15" hidden="false" customHeight="false" outlineLevel="0" collapsed="false">
      <c r="A5" s="1"/>
      <c r="B5" s="1" t="s">
        <v>4</v>
      </c>
      <c r="C5" s="4" t="n">
        <v>0.9</v>
      </c>
      <c r="D5" s="1" t="s">
        <v>5</v>
      </c>
    </row>
    <row r="6" customFormat="false" ht="15" hidden="false" customHeight="false" outlineLevel="0" collapsed="false">
      <c r="A6" s="1"/>
      <c r="B6" s="1" t="s">
        <v>6</v>
      </c>
      <c r="C6" s="5" t="n">
        <v>10</v>
      </c>
      <c r="D6" s="1" t="s">
        <v>7</v>
      </c>
    </row>
    <row r="7" customFormat="false" ht="15" hidden="false" customHeight="false" outlineLevel="0" collapsed="false">
      <c r="A7" s="1"/>
      <c r="B7" s="1"/>
      <c r="C7" s="1"/>
      <c r="D7" s="1"/>
    </row>
    <row r="8" customFormat="false" ht="15" hidden="false" customHeight="false" outlineLevel="0" collapsed="false">
      <c r="A8" s="1"/>
      <c r="B8" s="6" t="s">
        <v>8</v>
      </c>
      <c r="C8" s="6" t="s">
        <v>9</v>
      </c>
      <c r="D8" s="6" t="s">
        <v>10</v>
      </c>
    </row>
    <row r="9" customFormat="false" ht="15" hidden="false" customHeight="false" outlineLevel="0" collapsed="false">
      <c r="A9" s="1"/>
      <c r="B9" s="7" t="s">
        <v>11</v>
      </c>
      <c r="C9" s="1" t="n">
        <f aca="false">COUNTIF('Buy List'!$B$2:$B$91,B9)</f>
        <v>10</v>
      </c>
      <c r="D9" s="8" t="n">
        <f aca="false">SUMIF('Buy List'!$B$2:$B$91,B9,'Buy List'!$H$2:$H$91)</f>
        <v>9</v>
      </c>
    </row>
    <row r="10" customFormat="false" ht="15" hidden="false" customHeight="false" outlineLevel="0" collapsed="false">
      <c r="A10" s="1"/>
      <c r="B10" s="9" t="s">
        <v>12</v>
      </c>
      <c r="C10" s="1" t="n">
        <f aca="false">COUNTIF('Buy List'!$B$2:$B$91,B10)</f>
        <v>8</v>
      </c>
      <c r="D10" s="8" t="n">
        <f aca="false">SUMIF('Buy List'!$B$2:$B$91,B10,'Buy List'!$H$2:$H$91)</f>
        <v>7.2</v>
      </c>
    </row>
    <row r="11" customFormat="false" ht="15" hidden="false" customHeight="false" outlineLevel="0" collapsed="false">
      <c r="A11" s="1"/>
      <c r="B11" s="10" t="s">
        <v>13</v>
      </c>
      <c r="C11" s="1" t="n">
        <f aca="false">COUNTIF('Buy List'!$B$2:$B$91,B11)</f>
        <v>8</v>
      </c>
      <c r="D11" s="8" t="n">
        <f aca="false">SUMIF('Buy List'!$B$2:$B$91,B11,'Buy List'!$H$2:$H$91)</f>
        <v>7.2</v>
      </c>
    </row>
    <row r="12" customFormat="false" ht="15" hidden="false" customHeight="false" outlineLevel="0" collapsed="false">
      <c r="A12" s="1"/>
      <c r="B12" s="11" t="s">
        <v>14</v>
      </c>
      <c r="C12" s="1" t="n">
        <f aca="false">COUNTIF('Buy List'!$B$2:$B$91,B12)</f>
        <v>40</v>
      </c>
      <c r="D12" s="8" t="n">
        <f aca="false">SUMIF('Buy List'!$B$2:$B$91,B12,'Buy List'!$H$2:$H$91)</f>
        <v>36</v>
      </c>
    </row>
    <row r="13" customFormat="false" ht="15" hidden="false" customHeight="false" outlineLevel="0" collapsed="false">
      <c r="A13" s="1"/>
      <c r="B13" s="12" t="s">
        <v>15</v>
      </c>
      <c r="C13" s="1" t="n">
        <f aca="false">COUNTIF('Buy List'!$B$2:$B$91,B13)</f>
        <v>14</v>
      </c>
      <c r="D13" s="8" t="n">
        <f aca="false">SUMIF('Buy List'!$B$2:$B$91,B13,'Buy List'!$H$2:$H$91)</f>
        <v>12.6</v>
      </c>
    </row>
    <row r="14" customFormat="false" ht="15" hidden="false" customHeight="false" outlineLevel="0" collapsed="false">
      <c r="A14" s="1"/>
      <c r="B14" s="13" t="s">
        <v>16</v>
      </c>
      <c r="C14" s="1" t="n">
        <f aca="false">COUNTIF('Buy List'!$B$2:$B$91,B14)</f>
        <v>10</v>
      </c>
      <c r="D14" s="8" t="n">
        <f aca="false">SUMIF('Buy List'!$B$2:$B$91,B14,'Buy List'!$H$2:$H$91)</f>
        <v>9</v>
      </c>
    </row>
    <row r="15" customFormat="false" ht="15" hidden="false" customHeight="false" outlineLevel="0" collapsed="false">
      <c r="A15" s="1"/>
      <c r="B15" s="14" t="s">
        <v>17</v>
      </c>
      <c r="C15" s="14" t="n">
        <f aca="false">SUM(C9:C14)</f>
        <v>90</v>
      </c>
      <c r="D15" s="15" t="n">
        <f aca="false">SUM(D9:D14)</f>
        <v>81</v>
      </c>
    </row>
    <row r="16" customFormat="false" ht="15" hidden="false" customHeight="false" outlineLevel="0" collapsed="false">
      <c r="A16" s="1"/>
      <c r="B16" s="1" t="s">
        <v>18</v>
      </c>
      <c r="C16" s="1" t="n">
        <f aca="false">COUNTIF('Buy List'!$I$2:$I$91,"Y")</f>
        <v>0</v>
      </c>
      <c r="D16" s="1"/>
    </row>
    <row r="17" customFormat="false" ht="15" hidden="false" customHeight="false" outlineLevel="0" collapsed="false">
      <c r="A17" s="1"/>
      <c r="B17" s="1"/>
      <c r="C17" s="1"/>
      <c r="D17" s="1"/>
    </row>
    <row r="18" customFormat="false" ht="15" hidden="false" customHeight="false" outlineLevel="0" collapsed="false">
      <c r="A18" s="1"/>
      <c r="B18" s="6" t="s">
        <v>19</v>
      </c>
      <c r="C18" s="6" t="s">
        <v>20</v>
      </c>
      <c r="D18" s="1"/>
    </row>
    <row r="19" customFormat="false" ht="15" hidden="false" customHeight="false" outlineLevel="0" collapsed="false">
      <c r="A19" s="1"/>
      <c r="B19" s="9" t="s">
        <v>21</v>
      </c>
      <c r="C19" s="1" t="n">
        <f aca="false">COUNTIF(Placements!$G$2:$G$155,B19)</f>
        <v>16</v>
      </c>
      <c r="D19" s="1"/>
    </row>
    <row r="20" customFormat="false" ht="15" hidden="false" customHeight="false" outlineLevel="0" collapsed="false">
      <c r="A20" s="1"/>
      <c r="B20" s="10" t="s">
        <v>22</v>
      </c>
      <c r="C20" s="1" t="n">
        <f aca="false">COUNTIF(Placements!$G$2:$G$155,B20)</f>
        <v>75</v>
      </c>
      <c r="D20" s="1"/>
    </row>
    <row r="21" customFormat="false" ht="15" hidden="false" customHeight="false" outlineLevel="0" collapsed="false">
      <c r="A21" s="1"/>
      <c r="B21" s="11" t="s">
        <v>23</v>
      </c>
      <c r="C21" s="1" t="n">
        <f aca="false">COUNTIF(Placements!$G$2:$G$155,B21)</f>
        <v>15</v>
      </c>
      <c r="D21" s="1"/>
    </row>
    <row r="22" customFormat="false" ht="15" hidden="false" customHeight="false" outlineLevel="0" collapsed="false">
      <c r="A22" s="1"/>
      <c r="B22" s="13" t="s">
        <v>24</v>
      </c>
      <c r="C22" s="1" t="n">
        <f aca="false">COUNTIF(Placements!$G$2:$G$155,B22)</f>
        <v>38</v>
      </c>
      <c r="D22" s="1"/>
    </row>
    <row r="23" customFormat="false" ht="15" hidden="false" customHeight="false" outlineLevel="0" collapsed="false">
      <c r="A23" s="1"/>
      <c r="B23" s="13" t="s">
        <v>25</v>
      </c>
      <c r="C23" s="1" t="n">
        <f aca="false">COUNTIF(Placements!$G$2:$G$155,B23)</f>
        <v>9</v>
      </c>
      <c r="D23" s="1"/>
    </row>
    <row r="24" customFormat="false" ht="15" hidden="false" customHeight="false" outlineLevel="0" collapsed="false">
      <c r="A24" s="1"/>
      <c r="B24" s="7" t="s">
        <v>26</v>
      </c>
      <c r="C24" s="1" t="n">
        <f aca="false">COUNTIF(Placements!$G$2:$G$155,B24)</f>
        <v>1</v>
      </c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6" t="s">
        <v>27</v>
      </c>
      <c r="C26" s="6" t="s">
        <v>20</v>
      </c>
      <c r="D26" s="1"/>
    </row>
    <row r="27" customFormat="false" ht="15" hidden="false" customHeight="false" outlineLevel="0" collapsed="false">
      <c r="A27" s="1"/>
      <c r="B27" s="9" t="s">
        <v>28</v>
      </c>
      <c r="C27" s="1" t="n">
        <f aca="false">COUNTIF(Placements!$K$2:$K$155,B27)</f>
        <v>99</v>
      </c>
      <c r="D27" s="1"/>
    </row>
    <row r="28" customFormat="false" ht="15" hidden="false" customHeight="false" outlineLevel="0" collapsed="false">
      <c r="A28" s="1"/>
      <c r="B28" s="11" t="s">
        <v>29</v>
      </c>
      <c r="C28" s="1" t="n">
        <f aca="false">COUNTIF(Placements!$K$2:$K$155,B28)</f>
        <v>26</v>
      </c>
      <c r="D28" s="1"/>
    </row>
    <row r="29" customFormat="false" ht="15" hidden="false" customHeight="false" outlineLevel="0" collapsed="false">
      <c r="A29" s="1"/>
      <c r="B29" s="7" t="s">
        <v>30</v>
      </c>
      <c r="C29" s="1" t="n">
        <f aca="false">COUNTIF(Placements!$K$2:$K$155,B29)</f>
        <v>11</v>
      </c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false" outlineLevel="0" collapsed="false">
      <c r="A31" s="1"/>
      <c r="B31" s="16" t="s">
        <v>31</v>
      </c>
      <c r="C31" s="1"/>
      <c r="D31" s="1"/>
    </row>
    <row r="32" customFormat="false" ht="45" hidden="false" customHeight="true" outlineLevel="0" collapsed="false">
      <c r="A32" s="1"/>
      <c r="B32" s="14" t="s">
        <v>32</v>
      </c>
      <c r="C32" s="1"/>
      <c r="D32" s="17" t="s">
        <v>33</v>
      </c>
    </row>
    <row r="33" customFormat="false" ht="45" hidden="false" customHeight="true" outlineLevel="0" collapsed="false">
      <c r="A33" s="1"/>
      <c r="B33" s="14" t="s">
        <v>34</v>
      </c>
      <c r="C33" s="1"/>
      <c r="D33" s="17" t="s">
        <v>35</v>
      </c>
    </row>
    <row r="34" customFormat="false" ht="45" hidden="false" customHeight="true" outlineLevel="0" collapsed="false">
      <c r="A34" s="1"/>
      <c r="B34" s="14" t="s">
        <v>36</v>
      </c>
      <c r="C34" s="1"/>
      <c r="D34" s="17" t="s">
        <v>37</v>
      </c>
    </row>
    <row r="35" customFormat="false" ht="45" hidden="false" customHeight="true" outlineLevel="0" collapsed="false">
      <c r="A35" s="1"/>
      <c r="B35" s="14" t="s">
        <v>38</v>
      </c>
      <c r="C35" s="1"/>
      <c r="D35" s="17" t="s">
        <v>39</v>
      </c>
    </row>
    <row r="36" customFormat="false" ht="45" hidden="false" customHeight="true" outlineLevel="0" collapsed="false">
      <c r="A36" s="1"/>
      <c r="B36" s="14" t="s">
        <v>40</v>
      </c>
      <c r="C36" s="1"/>
      <c r="D36" s="17" t="s">
        <v>41</v>
      </c>
    </row>
    <row r="37" customFormat="false" ht="45" hidden="false" customHeight="true" outlineLevel="0" collapsed="false">
      <c r="A37" s="1"/>
      <c r="B37" s="14" t="s">
        <v>27</v>
      </c>
      <c r="C37" s="1"/>
      <c r="D37" s="17" t="s">
        <v>42</v>
      </c>
    </row>
    <row r="38" customFormat="false" ht="45" hidden="false" customHeight="true" outlineLevel="0" collapsed="false">
      <c r="A38" s="1"/>
      <c r="B38" s="14" t="s">
        <v>43</v>
      </c>
      <c r="C38" s="1"/>
      <c r="D38" s="17" t="s">
        <v>44</v>
      </c>
    </row>
    <row r="39" customFormat="false" ht="45" hidden="false" customHeight="true" outlineLevel="0" collapsed="false">
      <c r="A39" s="1"/>
      <c r="B39" s="14" t="s">
        <v>45</v>
      </c>
      <c r="C39" s="1"/>
      <c r="D39" s="1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9" min="8" style="0" width="12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18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53</v>
      </c>
      <c r="H1" s="18" t="s">
        <v>54</v>
      </c>
      <c r="I1" s="18" t="s">
        <v>55</v>
      </c>
      <c r="J1" s="18" t="s">
        <v>31</v>
      </c>
    </row>
    <row r="2" customFormat="false" ht="26.85" hidden="false" customHeight="false" outlineLevel="0" collapsed="false">
      <c r="A2" s="19" t="n">
        <v>1</v>
      </c>
      <c r="B2" s="19" t="s">
        <v>11</v>
      </c>
      <c r="C2" s="19" t="s">
        <v>56</v>
      </c>
      <c r="D2" s="20" t="s">
        <v>57</v>
      </c>
      <c r="E2" s="20" t="s">
        <v>58</v>
      </c>
      <c r="F2" s="20" t="n">
        <f aca="false">COUNTIFS(Placements!$F:$F,$C2,Placements!$I:$I,"Yes")</f>
        <v>2</v>
      </c>
      <c r="G2" s="20" t="s">
        <v>59</v>
      </c>
      <c r="H2" s="21" t="n">
        <f aca="false">IF(COUNTA($C$2:$C$91)&gt;=Summary!$C$6,Summary!$C$5,Summary!$C$4)</f>
        <v>0.9</v>
      </c>
      <c r="I2" s="22"/>
      <c r="J2" s="20"/>
    </row>
    <row r="3" customFormat="false" ht="26.85" hidden="false" customHeight="false" outlineLevel="0" collapsed="false">
      <c r="A3" s="19" t="n">
        <v>2</v>
      </c>
      <c r="B3" s="19" t="s">
        <v>11</v>
      </c>
      <c r="C3" s="19" t="s">
        <v>60</v>
      </c>
      <c r="D3" s="20" t="s">
        <v>57</v>
      </c>
      <c r="E3" s="20" t="s">
        <v>61</v>
      </c>
      <c r="F3" s="20" t="n">
        <f aca="false">COUNTIFS(Placements!$F:$F,$C3,Placements!$I:$I,"Yes")</f>
        <v>2</v>
      </c>
      <c r="G3" s="20" t="s">
        <v>62</v>
      </c>
      <c r="H3" s="21" t="n">
        <f aca="false">IF(COUNTA($C$2:$C$91)&gt;=Summary!$C$6,Summary!$C$5,Summary!$C$4)</f>
        <v>0.9</v>
      </c>
      <c r="I3" s="22"/>
      <c r="J3" s="20"/>
    </row>
    <row r="4" customFormat="false" ht="26.85" hidden="false" customHeight="false" outlineLevel="0" collapsed="false">
      <c r="A4" s="19" t="n">
        <v>3</v>
      </c>
      <c r="B4" s="19" t="s">
        <v>11</v>
      </c>
      <c r="C4" s="19" t="s">
        <v>63</v>
      </c>
      <c r="D4" s="20" t="s">
        <v>57</v>
      </c>
      <c r="E4" s="20" t="s">
        <v>64</v>
      </c>
      <c r="F4" s="20" t="n">
        <f aca="false">COUNTIFS(Placements!$F:$F,$C4,Placements!$I:$I,"Yes")</f>
        <v>2</v>
      </c>
      <c r="G4" s="20" t="s">
        <v>62</v>
      </c>
      <c r="H4" s="21" t="n">
        <f aca="false">IF(COUNTA($C$2:$C$91)&gt;=Summary!$C$6,Summary!$C$5,Summary!$C$4)</f>
        <v>0.9</v>
      </c>
      <c r="I4" s="22"/>
      <c r="J4" s="20"/>
    </row>
    <row r="5" customFormat="false" ht="26.85" hidden="false" customHeight="false" outlineLevel="0" collapsed="false">
      <c r="A5" s="19" t="n">
        <v>4</v>
      </c>
      <c r="B5" s="19" t="s">
        <v>11</v>
      </c>
      <c r="C5" s="19" t="s">
        <v>65</v>
      </c>
      <c r="D5" s="20" t="s">
        <v>66</v>
      </c>
      <c r="E5" s="23" t="s">
        <v>67</v>
      </c>
      <c r="F5" s="20" t="n">
        <f aca="false">COUNTIFS(Placements!$F:$F,$C5,Placements!$I:$I,"Yes")</f>
        <v>2</v>
      </c>
      <c r="G5" s="20" t="s">
        <v>68</v>
      </c>
      <c r="H5" s="21" t="n">
        <f aca="false">IF(COUNTA($C$2:$C$91)&gt;=Summary!$C$6,Summary!$C$5,Summary!$C$4)</f>
        <v>0.9</v>
      </c>
      <c r="I5" s="22"/>
      <c r="J5" s="20"/>
    </row>
    <row r="6" customFormat="false" ht="26.85" hidden="false" customHeight="false" outlineLevel="0" collapsed="false">
      <c r="A6" s="19" t="n">
        <v>5</v>
      </c>
      <c r="B6" s="19" t="s">
        <v>11</v>
      </c>
      <c r="C6" s="19" t="s">
        <v>69</v>
      </c>
      <c r="D6" s="20" t="s">
        <v>70</v>
      </c>
      <c r="E6" s="23" t="s">
        <v>71</v>
      </c>
      <c r="F6" s="20" t="n">
        <f aca="false">COUNTIFS(Placements!$F:$F,$C6,Placements!$I:$I,"Yes")</f>
        <v>2</v>
      </c>
      <c r="G6" s="20" t="s">
        <v>68</v>
      </c>
      <c r="H6" s="21" t="n">
        <f aca="false">IF(COUNTA($C$2:$C$91)&gt;=Summary!$C$6,Summary!$C$5,Summary!$C$4)</f>
        <v>0.9</v>
      </c>
      <c r="I6" s="22"/>
      <c r="J6" s="20"/>
    </row>
    <row r="7" customFormat="false" ht="26.85" hidden="false" customHeight="false" outlineLevel="0" collapsed="false">
      <c r="A7" s="19" t="n">
        <v>6</v>
      </c>
      <c r="B7" s="19" t="s">
        <v>11</v>
      </c>
      <c r="C7" s="19" t="s">
        <v>72</v>
      </c>
      <c r="D7" s="20" t="s">
        <v>57</v>
      </c>
      <c r="E7" s="20" t="s">
        <v>73</v>
      </c>
      <c r="F7" s="20" t="n">
        <f aca="false">COUNTIFS(Placements!$F:$F,$C7,Placements!$I:$I,"Yes")</f>
        <v>1</v>
      </c>
      <c r="G7" s="20" t="s">
        <v>74</v>
      </c>
      <c r="H7" s="21" t="n">
        <f aca="false">IF(COUNTA($C$2:$C$91)&gt;=Summary!$C$6,Summary!$C$5,Summary!$C$4)</f>
        <v>0.9</v>
      </c>
      <c r="I7" s="22"/>
      <c r="J7" s="20"/>
    </row>
    <row r="8" customFormat="false" ht="26.85" hidden="false" customHeight="false" outlineLevel="0" collapsed="false">
      <c r="A8" s="19" t="n">
        <v>7</v>
      </c>
      <c r="B8" s="19" t="s">
        <v>11</v>
      </c>
      <c r="C8" s="19" t="s">
        <v>75</v>
      </c>
      <c r="D8" s="20" t="s">
        <v>57</v>
      </c>
      <c r="E8" s="20" t="s">
        <v>76</v>
      </c>
      <c r="F8" s="20" t="n">
        <f aca="false">COUNTIFS(Placements!$F:$F,$C8,Placements!$I:$I,"Yes")</f>
        <v>1</v>
      </c>
      <c r="G8" s="20" t="s">
        <v>74</v>
      </c>
      <c r="H8" s="21" t="n">
        <f aca="false">IF(COUNTA($C$2:$C$91)&gt;=Summary!$C$6,Summary!$C$5,Summary!$C$4)</f>
        <v>0.9</v>
      </c>
      <c r="I8" s="22"/>
      <c r="J8" s="20"/>
    </row>
    <row r="9" customFormat="false" ht="26.85" hidden="false" customHeight="false" outlineLevel="0" collapsed="false">
      <c r="A9" s="19" t="n">
        <v>8</v>
      </c>
      <c r="B9" s="19" t="s">
        <v>11</v>
      </c>
      <c r="C9" s="19" t="s">
        <v>77</v>
      </c>
      <c r="D9" s="20" t="s">
        <v>57</v>
      </c>
      <c r="E9" s="20" t="s">
        <v>78</v>
      </c>
      <c r="F9" s="20" t="n">
        <f aca="false">COUNTIFS(Placements!$F:$F,$C9,Placements!$I:$I,"Yes")</f>
        <v>1</v>
      </c>
      <c r="G9" s="20" t="s">
        <v>79</v>
      </c>
      <c r="H9" s="21" t="n">
        <f aca="false">IF(COUNTA($C$2:$C$91)&gt;=Summary!$C$6,Summary!$C$5,Summary!$C$4)</f>
        <v>0.9</v>
      </c>
      <c r="I9" s="22"/>
      <c r="J9" s="20"/>
    </row>
    <row r="10" customFormat="false" ht="26.85" hidden="false" customHeight="false" outlineLevel="0" collapsed="false">
      <c r="A10" s="19" t="n">
        <v>9</v>
      </c>
      <c r="B10" s="19" t="s">
        <v>11</v>
      </c>
      <c r="C10" s="19" t="s">
        <v>80</v>
      </c>
      <c r="D10" s="20" t="s">
        <v>57</v>
      </c>
      <c r="E10" s="20" t="s">
        <v>81</v>
      </c>
      <c r="F10" s="20" t="n">
        <f aca="false">COUNTIFS(Placements!$F:$F,$C10,Placements!$I:$I,"Yes")</f>
        <v>1</v>
      </c>
      <c r="G10" s="20" t="s">
        <v>82</v>
      </c>
      <c r="H10" s="21" t="n">
        <f aca="false">IF(COUNTA($C$2:$C$91)&gt;=Summary!$C$6,Summary!$C$5,Summary!$C$4)</f>
        <v>0.9</v>
      </c>
      <c r="I10" s="22"/>
      <c r="J10" s="20"/>
    </row>
    <row r="11" customFormat="false" ht="26.85" hidden="false" customHeight="false" outlineLevel="0" collapsed="false">
      <c r="A11" s="19" t="n">
        <v>10</v>
      </c>
      <c r="B11" s="19" t="s">
        <v>11</v>
      </c>
      <c r="C11" s="19" t="s">
        <v>83</v>
      </c>
      <c r="D11" s="20" t="s">
        <v>57</v>
      </c>
      <c r="E11" s="20" t="s">
        <v>84</v>
      </c>
      <c r="F11" s="20" t="n">
        <f aca="false">COUNTIFS(Placements!$F:$F,$C11,Placements!$I:$I,"Yes")</f>
        <v>1</v>
      </c>
      <c r="G11" s="20" t="s">
        <v>85</v>
      </c>
      <c r="H11" s="21" t="n">
        <f aca="false">IF(COUNTA($C$2:$C$91)&gt;=Summary!$C$6,Summary!$C$5,Summary!$C$4)</f>
        <v>0.9</v>
      </c>
      <c r="I11" s="22"/>
      <c r="J11" s="20"/>
    </row>
    <row r="12" customFormat="false" ht="26.85" hidden="false" customHeight="false" outlineLevel="0" collapsed="false">
      <c r="A12" s="24" t="n">
        <v>11</v>
      </c>
      <c r="B12" s="24" t="s">
        <v>12</v>
      </c>
      <c r="C12" s="24" t="s">
        <v>86</v>
      </c>
      <c r="D12" s="20" t="s">
        <v>87</v>
      </c>
      <c r="E12" s="23" t="s">
        <v>88</v>
      </c>
      <c r="F12" s="20" t="n">
        <f aca="false">COUNTIFS(Placements!$F:$F,$C12,Placements!$I:$I,"Yes")</f>
        <v>3</v>
      </c>
      <c r="G12" s="20" t="s">
        <v>89</v>
      </c>
      <c r="H12" s="21" t="n">
        <f aca="false">IF(COUNTA($C$2:$C$91)&gt;=Summary!$C$6,Summary!$C$5,Summary!$C$4)</f>
        <v>0.9</v>
      </c>
      <c r="I12" s="22"/>
      <c r="J12" s="20"/>
    </row>
    <row r="13" customFormat="false" ht="26.85" hidden="false" customHeight="false" outlineLevel="0" collapsed="false">
      <c r="A13" s="24" t="n">
        <v>12</v>
      </c>
      <c r="B13" s="24" t="s">
        <v>12</v>
      </c>
      <c r="C13" s="24" t="s">
        <v>90</v>
      </c>
      <c r="D13" s="20" t="s">
        <v>57</v>
      </c>
      <c r="E13" s="20" t="s">
        <v>91</v>
      </c>
      <c r="F13" s="20" t="n">
        <f aca="false">COUNTIFS(Placements!$F:$F,$C13,Placements!$I:$I,"Yes")</f>
        <v>3</v>
      </c>
      <c r="G13" s="20" t="s">
        <v>92</v>
      </c>
      <c r="H13" s="21" t="n">
        <f aca="false">IF(COUNTA($C$2:$C$91)&gt;=Summary!$C$6,Summary!$C$5,Summary!$C$4)</f>
        <v>0.9</v>
      </c>
      <c r="I13" s="22"/>
      <c r="J13" s="20"/>
    </row>
    <row r="14" customFormat="false" ht="26.85" hidden="false" customHeight="false" outlineLevel="0" collapsed="false">
      <c r="A14" s="24" t="n">
        <v>13</v>
      </c>
      <c r="B14" s="24" t="s">
        <v>12</v>
      </c>
      <c r="C14" s="24" t="s">
        <v>93</v>
      </c>
      <c r="D14" s="20" t="s">
        <v>57</v>
      </c>
      <c r="E14" s="20" t="s">
        <v>94</v>
      </c>
      <c r="F14" s="20" t="n">
        <f aca="false">COUNTIFS(Placements!$F:$F,$C14,Placements!$I:$I,"Yes")</f>
        <v>3</v>
      </c>
      <c r="G14" s="20" t="s">
        <v>95</v>
      </c>
      <c r="H14" s="21" t="n">
        <f aca="false">IF(COUNTA($C$2:$C$91)&gt;=Summary!$C$6,Summary!$C$5,Summary!$C$4)</f>
        <v>0.9</v>
      </c>
      <c r="I14" s="22"/>
      <c r="J14" s="20"/>
    </row>
    <row r="15" customFormat="false" ht="26.85" hidden="false" customHeight="false" outlineLevel="0" collapsed="false">
      <c r="A15" s="24" t="n">
        <v>14</v>
      </c>
      <c r="B15" s="24" t="s">
        <v>12</v>
      </c>
      <c r="C15" s="24" t="s">
        <v>96</v>
      </c>
      <c r="D15" s="20" t="s">
        <v>57</v>
      </c>
      <c r="E15" s="20" t="s">
        <v>97</v>
      </c>
      <c r="F15" s="20" t="n">
        <f aca="false">COUNTIFS(Placements!$F:$F,$C15,Placements!$I:$I,"Yes")</f>
        <v>2</v>
      </c>
      <c r="G15" s="20" t="s">
        <v>98</v>
      </c>
      <c r="H15" s="21" t="n">
        <f aca="false">IF(COUNTA($C$2:$C$91)&gt;=Summary!$C$6,Summary!$C$5,Summary!$C$4)</f>
        <v>0.9</v>
      </c>
      <c r="I15" s="22"/>
      <c r="J15" s="20"/>
    </row>
    <row r="16" customFormat="false" ht="26.85" hidden="false" customHeight="false" outlineLevel="0" collapsed="false">
      <c r="A16" s="24" t="n">
        <v>15</v>
      </c>
      <c r="B16" s="24" t="s">
        <v>12</v>
      </c>
      <c r="C16" s="24" t="s">
        <v>99</v>
      </c>
      <c r="D16" s="20" t="s">
        <v>57</v>
      </c>
      <c r="E16" s="20" t="s">
        <v>100</v>
      </c>
      <c r="F16" s="20" t="n">
        <f aca="false">COUNTIFS(Placements!$F:$F,$C16,Placements!$I:$I,"Yes")</f>
        <v>2</v>
      </c>
      <c r="G16" s="20" t="s">
        <v>101</v>
      </c>
      <c r="H16" s="21" t="n">
        <f aca="false">IF(COUNTA($C$2:$C$91)&gt;=Summary!$C$6,Summary!$C$5,Summary!$C$4)</f>
        <v>0.9</v>
      </c>
      <c r="I16" s="22"/>
      <c r="J16" s="20"/>
    </row>
    <row r="17" customFormat="false" ht="26.85" hidden="false" customHeight="false" outlineLevel="0" collapsed="false">
      <c r="A17" s="24" t="n">
        <v>16</v>
      </c>
      <c r="B17" s="24" t="s">
        <v>12</v>
      </c>
      <c r="C17" s="24" t="s">
        <v>102</v>
      </c>
      <c r="D17" s="20" t="s">
        <v>103</v>
      </c>
      <c r="E17" s="23" t="s">
        <v>104</v>
      </c>
      <c r="F17" s="20" t="n">
        <f aca="false">COUNTIFS(Placements!$F:$F,$C17,Placements!$I:$I,"Yes")</f>
        <v>2</v>
      </c>
      <c r="G17" s="20" t="s">
        <v>105</v>
      </c>
      <c r="H17" s="21" t="n">
        <f aca="false">IF(COUNTA($C$2:$C$91)&gt;=Summary!$C$6,Summary!$C$5,Summary!$C$4)</f>
        <v>0.9</v>
      </c>
      <c r="I17" s="22"/>
      <c r="J17" s="20"/>
    </row>
    <row r="18" customFormat="false" ht="26.85" hidden="false" customHeight="false" outlineLevel="0" collapsed="false">
      <c r="A18" s="24" t="n">
        <v>17</v>
      </c>
      <c r="B18" s="24" t="s">
        <v>12</v>
      </c>
      <c r="C18" s="24" t="s">
        <v>106</v>
      </c>
      <c r="D18" s="20" t="s">
        <v>57</v>
      </c>
      <c r="E18" s="20" t="s">
        <v>107</v>
      </c>
      <c r="F18" s="20" t="n">
        <f aca="false">COUNTIFS(Placements!$F:$F,$C18,Placements!$I:$I,"Yes")</f>
        <v>2</v>
      </c>
      <c r="G18" s="20" t="s">
        <v>108</v>
      </c>
      <c r="H18" s="21" t="n">
        <f aca="false">IF(COUNTA($C$2:$C$91)&gt;=Summary!$C$6,Summary!$C$5,Summary!$C$4)</f>
        <v>0.9</v>
      </c>
      <c r="I18" s="22"/>
      <c r="J18" s="20"/>
    </row>
    <row r="19" customFormat="false" ht="26.85" hidden="false" customHeight="false" outlineLevel="0" collapsed="false">
      <c r="A19" s="24" t="n">
        <v>18</v>
      </c>
      <c r="B19" s="24" t="s">
        <v>12</v>
      </c>
      <c r="C19" s="24" t="s">
        <v>109</v>
      </c>
      <c r="D19" s="20" t="s">
        <v>57</v>
      </c>
      <c r="E19" s="20" t="s">
        <v>110</v>
      </c>
      <c r="F19" s="20" t="n">
        <f aca="false">COUNTIFS(Placements!$F:$F,$C19,Placements!$I:$I,"Yes")</f>
        <v>2</v>
      </c>
      <c r="G19" s="20" t="s">
        <v>68</v>
      </c>
      <c r="H19" s="21" t="n">
        <f aca="false">IF(COUNTA($C$2:$C$91)&gt;=Summary!$C$6,Summary!$C$5,Summary!$C$4)</f>
        <v>0.9</v>
      </c>
      <c r="I19" s="22"/>
      <c r="J19" s="20"/>
    </row>
    <row r="20" customFormat="false" ht="26.85" hidden="false" customHeight="false" outlineLevel="0" collapsed="false">
      <c r="A20" s="25" t="n">
        <v>19</v>
      </c>
      <c r="B20" s="25" t="s">
        <v>13</v>
      </c>
      <c r="C20" s="25" t="s">
        <v>111</v>
      </c>
      <c r="D20" s="20" t="s">
        <v>57</v>
      </c>
      <c r="E20" s="20" t="s">
        <v>112</v>
      </c>
      <c r="F20" s="20" t="n">
        <f aca="false">COUNTIFS(Placements!$F:$F,$C20,Placements!$I:$I,"Yes")</f>
        <v>1</v>
      </c>
      <c r="G20" s="20" t="s">
        <v>113</v>
      </c>
      <c r="H20" s="21" t="n">
        <f aca="false">IF(COUNTA($C$2:$C$91)&gt;=Summary!$C$6,Summary!$C$5,Summary!$C$4)</f>
        <v>0.9</v>
      </c>
      <c r="I20" s="22"/>
      <c r="J20" s="20"/>
    </row>
    <row r="21" customFormat="false" ht="26.85" hidden="false" customHeight="false" outlineLevel="0" collapsed="false">
      <c r="A21" s="25" t="n">
        <v>20</v>
      </c>
      <c r="B21" s="25" t="s">
        <v>13</v>
      </c>
      <c r="C21" s="25" t="s">
        <v>114</v>
      </c>
      <c r="D21" s="20" t="s">
        <v>57</v>
      </c>
      <c r="E21" s="20" t="s">
        <v>115</v>
      </c>
      <c r="F21" s="20" t="n">
        <f aca="false">COUNTIFS(Placements!$F:$F,$C21,Placements!$I:$I,"Yes")</f>
        <v>1</v>
      </c>
      <c r="G21" s="20" t="s">
        <v>113</v>
      </c>
      <c r="H21" s="21" t="n">
        <f aca="false">IF(COUNTA($C$2:$C$91)&gt;=Summary!$C$6,Summary!$C$5,Summary!$C$4)</f>
        <v>0.9</v>
      </c>
      <c r="I21" s="22"/>
      <c r="J21" s="20"/>
    </row>
    <row r="22" customFormat="false" ht="26.85" hidden="false" customHeight="false" outlineLevel="0" collapsed="false">
      <c r="A22" s="25" t="n">
        <v>21</v>
      </c>
      <c r="B22" s="25" t="s">
        <v>13</v>
      </c>
      <c r="C22" s="25" t="s">
        <v>116</v>
      </c>
      <c r="D22" s="20" t="s">
        <v>57</v>
      </c>
      <c r="E22" s="20" t="s">
        <v>117</v>
      </c>
      <c r="F22" s="20" t="n">
        <f aca="false">COUNTIFS(Placements!$F:$F,$C22,Placements!$I:$I,"Yes")</f>
        <v>1</v>
      </c>
      <c r="G22" s="20" t="s">
        <v>113</v>
      </c>
      <c r="H22" s="21" t="n">
        <f aca="false">IF(COUNTA($C$2:$C$91)&gt;=Summary!$C$6,Summary!$C$5,Summary!$C$4)</f>
        <v>0.9</v>
      </c>
      <c r="I22" s="22"/>
      <c r="J22" s="20"/>
    </row>
    <row r="23" customFormat="false" ht="26.85" hidden="false" customHeight="false" outlineLevel="0" collapsed="false">
      <c r="A23" s="25" t="n">
        <v>22</v>
      </c>
      <c r="B23" s="25" t="s">
        <v>13</v>
      </c>
      <c r="C23" s="25" t="s">
        <v>118</v>
      </c>
      <c r="D23" s="20" t="s">
        <v>57</v>
      </c>
      <c r="E23" s="20" t="s">
        <v>119</v>
      </c>
      <c r="F23" s="20" t="n">
        <f aca="false">COUNTIFS(Placements!$F:$F,$C23,Placements!$I:$I,"Yes")</f>
        <v>1</v>
      </c>
      <c r="G23" s="20" t="s">
        <v>120</v>
      </c>
      <c r="H23" s="21" t="n">
        <f aca="false">IF(COUNTA($C$2:$C$91)&gt;=Summary!$C$6,Summary!$C$5,Summary!$C$4)</f>
        <v>0.9</v>
      </c>
      <c r="I23" s="22"/>
      <c r="J23" s="20"/>
    </row>
    <row r="24" customFormat="false" ht="26.85" hidden="false" customHeight="false" outlineLevel="0" collapsed="false">
      <c r="A24" s="25" t="n">
        <v>23</v>
      </c>
      <c r="B24" s="25" t="s">
        <v>13</v>
      </c>
      <c r="C24" s="25" t="s">
        <v>121</v>
      </c>
      <c r="D24" s="20" t="s">
        <v>57</v>
      </c>
      <c r="E24" s="20" t="s">
        <v>122</v>
      </c>
      <c r="F24" s="20" t="n">
        <f aca="false">COUNTIFS(Placements!$F:$F,$C24,Placements!$I:$I,"Yes")</f>
        <v>1</v>
      </c>
      <c r="G24" s="20" t="s">
        <v>120</v>
      </c>
      <c r="H24" s="21" t="n">
        <f aca="false">IF(COUNTA($C$2:$C$91)&gt;=Summary!$C$6,Summary!$C$5,Summary!$C$4)</f>
        <v>0.9</v>
      </c>
      <c r="I24" s="22"/>
      <c r="J24" s="20"/>
    </row>
    <row r="25" customFormat="false" ht="26.85" hidden="false" customHeight="false" outlineLevel="0" collapsed="false">
      <c r="A25" s="25" t="n">
        <v>24</v>
      </c>
      <c r="B25" s="25" t="s">
        <v>13</v>
      </c>
      <c r="C25" s="25" t="s">
        <v>123</v>
      </c>
      <c r="D25" s="20" t="s">
        <v>124</v>
      </c>
      <c r="E25" s="23" t="s">
        <v>125</v>
      </c>
      <c r="F25" s="20" t="n">
        <f aca="false">COUNTIFS(Placements!$F:$F,$C25,Placements!$I:$I,"Yes")</f>
        <v>1</v>
      </c>
      <c r="G25" s="20" t="s">
        <v>120</v>
      </c>
      <c r="H25" s="21" t="n">
        <f aca="false">IF(COUNTA($C$2:$C$91)&gt;=Summary!$C$6,Summary!$C$5,Summary!$C$4)</f>
        <v>0.9</v>
      </c>
      <c r="I25" s="22"/>
      <c r="J25" s="20"/>
    </row>
    <row r="26" customFormat="false" ht="26.85" hidden="false" customHeight="false" outlineLevel="0" collapsed="false">
      <c r="A26" s="25" t="n">
        <v>25</v>
      </c>
      <c r="B26" s="25" t="s">
        <v>13</v>
      </c>
      <c r="C26" s="25" t="s">
        <v>126</v>
      </c>
      <c r="D26" s="20" t="s">
        <v>57</v>
      </c>
      <c r="E26" s="20" t="s">
        <v>127</v>
      </c>
      <c r="F26" s="20" t="n">
        <f aca="false">COUNTIFS(Placements!$F:$F,$C26,Placements!$I:$I,"Yes")</f>
        <v>1</v>
      </c>
      <c r="G26" s="20" t="s">
        <v>120</v>
      </c>
      <c r="H26" s="21" t="n">
        <f aca="false">IF(COUNTA($C$2:$C$91)&gt;=Summary!$C$6,Summary!$C$5,Summary!$C$4)</f>
        <v>0.9</v>
      </c>
      <c r="I26" s="22"/>
      <c r="J26" s="20"/>
    </row>
    <row r="27" customFormat="false" ht="26.85" hidden="false" customHeight="false" outlineLevel="0" collapsed="false">
      <c r="A27" s="25" t="n">
        <v>26</v>
      </c>
      <c r="B27" s="25" t="s">
        <v>13</v>
      </c>
      <c r="C27" s="25" t="s">
        <v>128</v>
      </c>
      <c r="D27" s="20" t="s">
        <v>57</v>
      </c>
      <c r="E27" s="20" t="s">
        <v>129</v>
      </c>
      <c r="F27" s="20" t="n">
        <f aca="false">COUNTIFS(Placements!$F:$F,$C27,Placements!$I:$I,"Yes")</f>
        <v>1</v>
      </c>
      <c r="G27" s="20" t="s">
        <v>120</v>
      </c>
      <c r="H27" s="21" t="n">
        <f aca="false">IF(COUNTA($C$2:$C$91)&gt;=Summary!$C$6,Summary!$C$5,Summary!$C$4)</f>
        <v>0.9</v>
      </c>
      <c r="I27" s="22"/>
      <c r="J27" s="20"/>
    </row>
    <row r="28" customFormat="false" ht="26.85" hidden="false" customHeight="false" outlineLevel="0" collapsed="false">
      <c r="A28" s="26" t="n">
        <v>27</v>
      </c>
      <c r="B28" s="26" t="s">
        <v>14</v>
      </c>
      <c r="C28" s="26" t="s">
        <v>130</v>
      </c>
      <c r="D28" s="20" t="s">
        <v>57</v>
      </c>
      <c r="E28" s="20" t="s">
        <v>131</v>
      </c>
      <c r="F28" s="20" t="n">
        <f aca="false">COUNTIFS(Placements!$F:$F,$C28,Placements!$I:$I,"Yes")</f>
        <v>1</v>
      </c>
      <c r="G28" s="20" t="s">
        <v>132</v>
      </c>
      <c r="H28" s="21" t="n">
        <f aca="false">IF(COUNTA($C$2:$C$91)&gt;=Summary!$C$6,Summary!$C$5,Summary!$C$4)</f>
        <v>0.9</v>
      </c>
      <c r="I28" s="22"/>
      <c r="J28" s="20"/>
    </row>
    <row r="29" customFormat="false" ht="26.85" hidden="false" customHeight="false" outlineLevel="0" collapsed="false">
      <c r="A29" s="26" t="n">
        <v>28</v>
      </c>
      <c r="B29" s="26" t="s">
        <v>14</v>
      </c>
      <c r="C29" s="26" t="s">
        <v>133</v>
      </c>
      <c r="D29" s="20" t="s">
        <v>57</v>
      </c>
      <c r="E29" s="20" t="s">
        <v>134</v>
      </c>
      <c r="F29" s="20" t="n">
        <f aca="false">COUNTIFS(Placements!$F:$F,$C29,Placements!$I:$I,"Yes")</f>
        <v>1</v>
      </c>
      <c r="G29" s="20" t="s">
        <v>132</v>
      </c>
      <c r="H29" s="21" t="n">
        <f aca="false">IF(COUNTA($C$2:$C$91)&gt;=Summary!$C$6,Summary!$C$5,Summary!$C$4)</f>
        <v>0.9</v>
      </c>
      <c r="I29" s="22"/>
      <c r="J29" s="20"/>
    </row>
    <row r="30" customFormat="false" ht="26.85" hidden="false" customHeight="false" outlineLevel="0" collapsed="false">
      <c r="A30" s="26" t="n">
        <v>29</v>
      </c>
      <c r="B30" s="26" t="s">
        <v>14</v>
      </c>
      <c r="C30" s="26" t="s">
        <v>135</v>
      </c>
      <c r="D30" s="20" t="s">
        <v>57</v>
      </c>
      <c r="E30" s="20" t="s">
        <v>136</v>
      </c>
      <c r="F30" s="20" t="n">
        <f aca="false">COUNTIFS(Placements!$F:$F,$C30,Placements!$I:$I,"Yes")</f>
        <v>1</v>
      </c>
      <c r="G30" s="20" t="s">
        <v>132</v>
      </c>
      <c r="H30" s="21" t="n">
        <f aca="false">IF(COUNTA($C$2:$C$91)&gt;=Summary!$C$6,Summary!$C$5,Summary!$C$4)</f>
        <v>0.9</v>
      </c>
      <c r="I30" s="22"/>
      <c r="J30" s="20"/>
    </row>
    <row r="31" customFormat="false" ht="26.85" hidden="false" customHeight="false" outlineLevel="0" collapsed="false">
      <c r="A31" s="26" t="n">
        <v>30</v>
      </c>
      <c r="B31" s="26" t="s">
        <v>14</v>
      </c>
      <c r="C31" s="26" t="s">
        <v>137</v>
      </c>
      <c r="D31" s="20" t="s">
        <v>57</v>
      </c>
      <c r="E31" s="20" t="s">
        <v>138</v>
      </c>
      <c r="F31" s="20" t="n">
        <f aca="false">COUNTIFS(Placements!$F:$F,$C31,Placements!$I:$I,"Yes")</f>
        <v>1</v>
      </c>
      <c r="G31" s="20" t="s">
        <v>132</v>
      </c>
      <c r="H31" s="21" t="n">
        <f aca="false">IF(COUNTA($C$2:$C$91)&gt;=Summary!$C$6,Summary!$C$5,Summary!$C$4)</f>
        <v>0.9</v>
      </c>
      <c r="I31" s="22"/>
      <c r="J31" s="20"/>
    </row>
    <row r="32" customFormat="false" ht="26.85" hidden="false" customHeight="false" outlineLevel="0" collapsed="false">
      <c r="A32" s="26" t="n">
        <v>31</v>
      </c>
      <c r="B32" s="26" t="s">
        <v>14</v>
      </c>
      <c r="C32" s="26" t="s">
        <v>139</v>
      </c>
      <c r="D32" s="20" t="s">
        <v>57</v>
      </c>
      <c r="E32" s="20" t="s">
        <v>140</v>
      </c>
      <c r="F32" s="20" t="n">
        <f aca="false">COUNTIFS(Placements!$F:$F,$C32,Placements!$I:$I,"Yes")</f>
        <v>1</v>
      </c>
      <c r="G32" s="20" t="s">
        <v>132</v>
      </c>
      <c r="H32" s="21" t="n">
        <f aca="false">IF(COUNTA($C$2:$C$91)&gt;=Summary!$C$6,Summary!$C$5,Summary!$C$4)</f>
        <v>0.9</v>
      </c>
      <c r="I32" s="22"/>
      <c r="J32" s="20"/>
    </row>
    <row r="33" customFormat="false" ht="26.85" hidden="false" customHeight="false" outlineLevel="0" collapsed="false">
      <c r="A33" s="26" t="n">
        <v>32</v>
      </c>
      <c r="B33" s="26" t="s">
        <v>14</v>
      </c>
      <c r="C33" s="26" t="s">
        <v>141</v>
      </c>
      <c r="D33" s="20" t="s">
        <v>57</v>
      </c>
      <c r="E33" s="20" t="s">
        <v>142</v>
      </c>
      <c r="F33" s="20" t="n">
        <f aca="false">COUNTIFS(Placements!$F:$F,$C33,Placements!$I:$I,"Yes")</f>
        <v>1</v>
      </c>
      <c r="G33" s="20" t="s">
        <v>132</v>
      </c>
      <c r="H33" s="21" t="n">
        <f aca="false">IF(COUNTA($C$2:$C$91)&gt;=Summary!$C$6,Summary!$C$5,Summary!$C$4)</f>
        <v>0.9</v>
      </c>
      <c r="I33" s="22"/>
      <c r="J33" s="20"/>
    </row>
    <row r="34" customFormat="false" ht="26.85" hidden="false" customHeight="false" outlineLevel="0" collapsed="false">
      <c r="A34" s="26" t="n">
        <v>33</v>
      </c>
      <c r="B34" s="26" t="s">
        <v>14</v>
      </c>
      <c r="C34" s="26" t="s">
        <v>143</v>
      </c>
      <c r="D34" s="20" t="s">
        <v>57</v>
      </c>
      <c r="E34" s="20" t="s">
        <v>144</v>
      </c>
      <c r="F34" s="20" t="n">
        <f aca="false">COUNTIFS(Placements!$F:$F,$C34,Placements!$I:$I,"Yes")</f>
        <v>1</v>
      </c>
      <c r="G34" s="20" t="s">
        <v>132</v>
      </c>
      <c r="H34" s="21" t="n">
        <f aca="false">IF(COUNTA($C$2:$C$91)&gt;=Summary!$C$6,Summary!$C$5,Summary!$C$4)</f>
        <v>0.9</v>
      </c>
      <c r="I34" s="22"/>
      <c r="J34" s="20"/>
    </row>
    <row r="35" customFormat="false" ht="26.85" hidden="false" customHeight="false" outlineLevel="0" collapsed="false">
      <c r="A35" s="26" t="n">
        <v>34</v>
      </c>
      <c r="B35" s="26" t="s">
        <v>14</v>
      </c>
      <c r="C35" s="26" t="s">
        <v>145</v>
      </c>
      <c r="D35" s="20" t="s">
        <v>57</v>
      </c>
      <c r="E35" s="20" t="s">
        <v>146</v>
      </c>
      <c r="F35" s="20" t="n">
        <f aca="false">COUNTIFS(Placements!$F:$F,$C35,Placements!$I:$I,"Yes")</f>
        <v>1</v>
      </c>
      <c r="G35" s="20" t="s">
        <v>74</v>
      </c>
      <c r="H35" s="21" t="n">
        <f aca="false">IF(COUNTA($C$2:$C$91)&gt;=Summary!$C$6,Summary!$C$5,Summary!$C$4)</f>
        <v>0.9</v>
      </c>
      <c r="I35" s="22"/>
      <c r="J35" s="20"/>
    </row>
    <row r="36" customFormat="false" ht="26.85" hidden="false" customHeight="false" outlineLevel="0" collapsed="false">
      <c r="A36" s="26" t="n">
        <v>35</v>
      </c>
      <c r="B36" s="26" t="s">
        <v>14</v>
      </c>
      <c r="C36" s="26" t="s">
        <v>147</v>
      </c>
      <c r="D36" s="20" t="s">
        <v>57</v>
      </c>
      <c r="E36" s="20" t="s">
        <v>148</v>
      </c>
      <c r="F36" s="20" t="n">
        <f aca="false">COUNTIFS(Placements!$F:$F,$C36,Placements!$I:$I,"Yes")</f>
        <v>1</v>
      </c>
      <c r="G36" s="20" t="s">
        <v>74</v>
      </c>
      <c r="H36" s="21" t="n">
        <f aca="false">IF(COUNTA($C$2:$C$91)&gt;=Summary!$C$6,Summary!$C$5,Summary!$C$4)</f>
        <v>0.9</v>
      </c>
      <c r="I36" s="22"/>
      <c r="J36" s="20"/>
    </row>
    <row r="37" customFormat="false" ht="26.85" hidden="false" customHeight="false" outlineLevel="0" collapsed="false">
      <c r="A37" s="26" t="n">
        <v>36</v>
      </c>
      <c r="B37" s="26" t="s">
        <v>14</v>
      </c>
      <c r="C37" s="26" t="s">
        <v>149</v>
      </c>
      <c r="D37" s="20" t="s">
        <v>57</v>
      </c>
      <c r="E37" s="20" t="s">
        <v>150</v>
      </c>
      <c r="F37" s="20" t="n">
        <f aca="false">COUNTIFS(Placements!$F:$F,$C37,Placements!$I:$I,"Yes")</f>
        <v>1</v>
      </c>
      <c r="G37" s="20" t="s">
        <v>74</v>
      </c>
      <c r="H37" s="21" t="n">
        <f aca="false">IF(COUNTA($C$2:$C$91)&gt;=Summary!$C$6,Summary!$C$5,Summary!$C$4)</f>
        <v>0.9</v>
      </c>
      <c r="I37" s="22"/>
      <c r="J37" s="20"/>
    </row>
    <row r="38" customFormat="false" ht="26.85" hidden="false" customHeight="false" outlineLevel="0" collapsed="false">
      <c r="A38" s="26" t="n">
        <v>37</v>
      </c>
      <c r="B38" s="26" t="s">
        <v>14</v>
      </c>
      <c r="C38" s="26" t="s">
        <v>151</v>
      </c>
      <c r="D38" s="20" t="s">
        <v>57</v>
      </c>
      <c r="E38" s="20" t="s">
        <v>152</v>
      </c>
      <c r="F38" s="20" t="n">
        <f aca="false">COUNTIFS(Placements!$F:$F,$C38,Placements!$I:$I,"Yes")</f>
        <v>1</v>
      </c>
      <c r="G38" s="20" t="s">
        <v>74</v>
      </c>
      <c r="H38" s="21" t="n">
        <f aca="false">IF(COUNTA($C$2:$C$91)&gt;=Summary!$C$6,Summary!$C$5,Summary!$C$4)</f>
        <v>0.9</v>
      </c>
      <c r="I38" s="22"/>
      <c r="J38" s="20"/>
    </row>
    <row r="39" customFormat="false" ht="26.85" hidden="false" customHeight="false" outlineLevel="0" collapsed="false">
      <c r="A39" s="26" t="n">
        <v>38</v>
      </c>
      <c r="B39" s="26" t="s">
        <v>14</v>
      </c>
      <c r="C39" s="26" t="s">
        <v>153</v>
      </c>
      <c r="D39" s="20" t="s">
        <v>57</v>
      </c>
      <c r="E39" s="20" t="s">
        <v>154</v>
      </c>
      <c r="F39" s="20" t="n">
        <f aca="false">COUNTIFS(Placements!$F:$F,$C39,Placements!$I:$I,"Yes")</f>
        <v>1</v>
      </c>
      <c r="G39" s="20" t="s">
        <v>74</v>
      </c>
      <c r="H39" s="21" t="n">
        <f aca="false">IF(COUNTA($C$2:$C$91)&gt;=Summary!$C$6,Summary!$C$5,Summary!$C$4)</f>
        <v>0.9</v>
      </c>
      <c r="I39" s="22"/>
      <c r="J39" s="20"/>
    </row>
    <row r="40" customFormat="false" ht="26.85" hidden="false" customHeight="false" outlineLevel="0" collapsed="false">
      <c r="A40" s="26" t="n">
        <v>39</v>
      </c>
      <c r="B40" s="26" t="s">
        <v>14</v>
      </c>
      <c r="C40" s="26" t="s">
        <v>155</v>
      </c>
      <c r="D40" s="20" t="s">
        <v>57</v>
      </c>
      <c r="E40" s="20" t="s">
        <v>156</v>
      </c>
      <c r="F40" s="20" t="n">
        <f aca="false">COUNTIFS(Placements!$F:$F,$C40,Placements!$I:$I,"Yes")</f>
        <v>1</v>
      </c>
      <c r="G40" s="20" t="s">
        <v>157</v>
      </c>
      <c r="H40" s="21" t="n">
        <f aca="false">IF(COUNTA($C$2:$C$91)&gt;=Summary!$C$6,Summary!$C$5,Summary!$C$4)</f>
        <v>0.9</v>
      </c>
      <c r="I40" s="22"/>
      <c r="J40" s="20"/>
    </row>
    <row r="41" customFormat="false" ht="26.85" hidden="false" customHeight="false" outlineLevel="0" collapsed="false">
      <c r="A41" s="26" t="n">
        <v>40</v>
      </c>
      <c r="B41" s="26" t="s">
        <v>14</v>
      </c>
      <c r="C41" s="26" t="s">
        <v>158</v>
      </c>
      <c r="D41" s="20" t="s">
        <v>57</v>
      </c>
      <c r="E41" s="20" t="s">
        <v>159</v>
      </c>
      <c r="F41" s="20" t="n">
        <f aca="false">COUNTIFS(Placements!$F:$F,$C41,Placements!$I:$I,"Yes")</f>
        <v>1</v>
      </c>
      <c r="G41" s="20" t="s">
        <v>157</v>
      </c>
      <c r="H41" s="21" t="n">
        <f aca="false">IF(COUNTA($C$2:$C$91)&gt;=Summary!$C$6,Summary!$C$5,Summary!$C$4)</f>
        <v>0.9</v>
      </c>
      <c r="I41" s="22"/>
      <c r="J41" s="20"/>
    </row>
    <row r="42" customFormat="false" ht="26.85" hidden="false" customHeight="false" outlineLevel="0" collapsed="false">
      <c r="A42" s="26" t="n">
        <v>41</v>
      </c>
      <c r="B42" s="26" t="s">
        <v>14</v>
      </c>
      <c r="C42" s="26" t="s">
        <v>160</v>
      </c>
      <c r="D42" s="20" t="s">
        <v>57</v>
      </c>
      <c r="E42" s="20" t="s">
        <v>161</v>
      </c>
      <c r="F42" s="20" t="n">
        <f aca="false">COUNTIFS(Placements!$F:$F,$C42,Placements!$I:$I,"Yes")</f>
        <v>1</v>
      </c>
      <c r="G42" s="20" t="s">
        <v>157</v>
      </c>
      <c r="H42" s="21" t="n">
        <f aca="false">IF(COUNTA($C$2:$C$91)&gt;=Summary!$C$6,Summary!$C$5,Summary!$C$4)</f>
        <v>0.9</v>
      </c>
      <c r="I42" s="22"/>
      <c r="J42" s="20"/>
    </row>
    <row r="43" customFormat="false" ht="26.85" hidden="false" customHeight="false" outlineLevel="0" collapsed="false">
      <c r="A43" s="26" t="n">
        <v>42</v>
      </c>
      <c r="B43" s="26" t="s">
        <v>14</v>
      </c>
      <c r="C43" s="26" t="s">
        <v>162</v>
      </c>
      <c r="D43" s="20" t="s">
        <v>57</v>
      </c>
      <c r="E43" s="20" t="s">
        <v>163</v>
      </c>
      <c r="F43" s="20" t="n">
        <f aca="false">COUNTIFS(Placements!$F:$F,$C43,Placements!$I:$I,"Yes")</f>
        <v>1</v>
      </c>
      <c r="G43" s="20" t="s">
        <v>157</v>
      </c>
      <c r="H43" s="21" t="n">
        <f aca="false">IF(COUNTA($C$2:$C$91)&gt;=Summary!$C$6,Summary!$C$5,Summary!$C$4)</f>
        <v>0.9</v>
      </c>
      <c r="I43" s="22"/>
      <c r="J43" s="20"/>
    </row>
    <row r="44" customFormat="false" ht="26.85" hidden="false" customHeight="false" outlineLevel="0" collapsed="false">
      <c r="A44" s="26" t="n">
        <v>43</v>
      </c>
      <c r="B44" s="26" t="s">
        <v>14</v>
      </c>
      <c r="C44" s="26" t="s">
        <v>164</v>
      </c>
      <c r="D44" s="20" t="s">
        <v>57</v>
      </c>
      <c r="E44" s="20" t="s">
        <v>165</v>
      </c>
      <c r="F44" s="20" t="n">
        <f aca="false">COUNTIFS(Placements!$F:$F,$C44,Placements!$I:$I,"Yes")</f>
        <v>1</v>
      </c>
      <c r="G44" s="20" t="s">
        <v>157</v>
      </c>
      <c r="H44" s="21" t="n">
        <f aca="false">IF(COUNTA($C$2:$C$91)&gt;=Summary!$C$6,Summary!$C$5,Summary!$C$4)</f>
        <v>0.9</v>
      </c>
      <c r="I44" s="22"/>
      <c r="J44" s="20"/>
    </row>
    <row r="45" customFormat="false" ht="26.85" hidden="false" customHeight="false" outlineLevel="0" collapsed="false">
      <c r="A45" s="26" t="n">
        <v>44</v>
      </c>
      <c r="B45" s="26" t="s">
        <v>14</v>
      </c>
      <c r="C45" s="26" t="s">
        <v>166</v>
      </c>
      <c r="D45" s="20" t="s">
        <v>57</v>
      </c>
      <c r="E45" s="20" t="s">
        <v>167</v>
      </c>
      <c r="F45" s="20" t="n">
        <f aca="false">COUNTIFS(Placements!$F:$F,$C45,Placements!$I:$I,"Yes")</f>
        <v>1</v>
      </c>
      <c r="G45" s="20" t="s">
        <v>157</v>
      </c>
      <c r="H45" s="21" t="n">
        <f aca="false">IF(COUNTA($C$2:$C$91)&gt;=Summary!$C$6,Summary!$C$5,Summary!$C$4)</f>
        <v>0.9</v>
      </c>
      <c r="I45" s="22"/>
      <c r="J45" s="20"/>
    </row>
    <row r="46" customFormat="false" ht="26.85" hidden="false" customHeight="false" outlineLevel="0" collapsed="false">
      <c r="A46" s="26" t="n">
        <v>45</v>
      </c>
      <c r="B46" s="26" t="s">
        <v>14</v>
      </c>
      <c r="C46" s="26" t="s">
        <v>168</v>
      </c>
      <c r="D46" s="20" t="s">
        <v>57</v>
      </c>
      <c r="E46" s="20" t="s">
        <v>169</v>
      </c>
      <c r="F46" s="20" t="n">
        <f aca="false">COUNTIFS(Placements!$F:$F,$C46,Placements!$I:$I,"Yes")</f>
        <v>1</v>
      </c>
      <c r="G46" s="20" t="s">
        <v>157</v>
      </c>
      <c r="H46" s="21" t="n">
        <f aca="false">IF(COUNTA($C$2:$C$91)&gt;=Summary!$C$6,Summary!$C$5,Summary!$C$4)</f>
        <v>0.9</v>
      </c>
      <c r="I46" s="22"/>
      <c r="J46" s="20"/>
    </row>
    <row r="47" customFormat="false" ht="26.85" hidden="false" customHeight="false" outlineLevel="0" collapsed="false">
      <c r="A47" s="26" t="n">
        <v>46</v>
      </c>
      <c r="B47" s="26" t="s">
        <v>14</v>
      </c>
      <c r="C47" s="26" t="s">
        <v>170</v>
      </c>
      <c r="D47" s="20" t="s">
        <v>57</v>
      </c>
      <c r="E47" s="20" t="s">
        <v>171</v>
      </c>
      <c r="F47" s="20" t="n">
        <f aca="false">COUNTIFS(Placements!$F:$F,$C47,Placements!$I:$I,"Yes")</f>
        <v>1</v>
      </c>
      <c r="G47" s="20" t="s">
        <v>172</v>
      </c>
      <c r="H47" s="21" t="n">
        <f aca="false">IF(COUNTA($C$2:$C$91)&gt;=Summary!$C$6,Summary!$C$5,Summary!$C$4)</f>
        <v>0.9</v>
      </c>
      <c r="I47" s="22"/>
      <c r="J47" s="20"/>
    </row>
    <row r="48" customFormat="false" ht="26.85" hidden="false" customHeight="false" outlineLevel="0" collapsed="false">
      <c r="A48" s="26" t="n">
        <v>47</v>
      </c>
      <c r="B48" s="26" t="s">
        <v>14</v>
      </c>
      <c r="C48" s="26" t="s">
        <v>173</v>
      </c>
      <c r="D48" s="20" t="s">
        <v>57</v>
      </c>
      <c r="E48" s="20" t="s">
        <v>174</v>
      </c>
      <c r="F48" s="20" t="n">
        <f aca="false">COUNTIFS(Placements!$F:$F,$C48,Placements!$I:$I,"Yes")</f>
        <v>1</v>
      </c>
      <c r="G48" s="20" t="s">
        <v>172</v>
      </c>
      <c r="H48" s="21" t="n">
        <f aca="false">IF(COUNTA($C$2:$C$91)&gt;=Summary!$C$6,Summary!$C$5,Summary!$C$4)</f>
        <v>0.9</v>
      </c>
      <c r="I48" s="22"/>
      <c r="J48" s="20"/>
    </row>
    <row r="49" customFormat="false" ht="26.85" hidden="false" customHeight="false" outlineLevel="0" collapsed="false">
      <c r="A49" s="26" t="n">
        <v>48</v>
      </c>
      <c r="B49" s="26" t="s">
        <v>14</v>
      </c>
      <c r="C49" s="26" t="s">
        <v>175</v>
      </c>
      <c r="D49" s="20" t="s">
        <v>57</v>
      </c>
      <c r="E49" s="20" t="s">
        <v>176</v>
      </c>
      <c r="F49" s="20" t="n">
        <f aca="false">COUNTIFS(Placements!$F:$F,$C49,Placements!$I:$I,"Yes")</f>
        <v>1</v>
      </c>
      <c r="G49" s="20" t="s">
        <v>172</v>
      </c>
      <c r="H49" s="21" t="n">
        <f aca="false">IF(COUNTA($C$2:$C$91)&gt;=Summary!$C$6,Summary!$C$5,Summary!$C$4)</f>
        <v>0.9</v>
      </c>
      <c r="I49" s="22"/>
      <c r="J49" s="20"/>
    </row>
    <row r="50" customFormat="false" ht="26.85" hidden="false" customHeight="false" outlineLevel="0" collapsed="false">
      <c r="A50" s="26" t="n">
        <v>49</v>
      </c>
      <c r="B50" s="26" t="s">
        <v>14</v>
      </c>
      <c r="C50" s="26" t="s">
        <v>177</v>
      </c>
      <c r="D50" s="20" t="s">
        <v>57</v>
      </c>
      <c r="E50" s="20" t="s">
        <v>178</v>
      </c>
      <c r="F50" s="20" t="n">
        <f aca="false">COUNTIFS(Placements!$F:$F,$C50,Placements!$I:$I,"Yes")</f>
        <v>1</v>
      </c>
      <c r="G50" s="20" t="s">
        <v>172</v>
      </c>
      <c r="H50" s="21" t="n">
        <f aca="false">IF(COUNTA($C$2:$C$91)&gt;=Summary!$C$6,Summary!$C$5,Summary!$C$4)</f>
        <v>0.9</v>
      </c>
      <c r="I50" s="22"/>
      <c r="J50" s="20"/>
    </row>
    <row r="51" customFormat="false" ht="26.85" hidden="false" customHeight="false" outlineLevel="0" collapsed="false">
      <c r="A51" s="26" t="n">
        <v>50</v>
      </c>
      <c r="B51" s="26" t="s">
        <v>14</v>
      </c>
      <c r="C51" s="26" t="s">
        <v>179</v>
      </c>
      <c r="D51" s="20" t="s">
        <v>57</v>
      </c>
      <c r="E51" s="20" t="s">
        <v>180</v>
      </c>
      <c r="F51" s="20" t="n">
        <f aca="false">COUNTIFS(Placements!$F:$F,$C51,Placements!$I:$I,"Yes")</f>
        <v>1</v>
      </c>
      <c r="G51" s="20" t="s">
        <v>172</v>
      </c>
      <c r="H51" s="21" t="n">
        <f aca="false">IF(COUNTA($C$2:$C$91)&gt;=Summary!$C$6,Summary!$C$5,Summary!$C$4)</f>
        <v>0.9</v>
      </c>
      <c r="I51" s="22"/>
      <c r="J51" s="20"/>
    </row>
    <row r="52" customFormat="false" ht="26.85" hidden="false" customHeight="false" outlineLevel="0" collapsed="false">
      <c r="A52" s="26" t="n">
        <v>51</v>
      </c>
      <c r="B52" s="26" t="s">
        <v>14</v>
      </c>
      <c r="C52" s="26" t="s">
        <v>181</v>
      </c>
      <c r="D52" s="20" t="s">
        <v>57</v>
      </c>
      <c r="E52" s="20" t="s">
        <v>182</v>
      </c>
      <c r="F52" s="20" t="n">
        <f aca="false">COUNTIFS(Placements!$F:$F,$C52,Placements!$I:$I,"Yes")</f>
        <v>1</v>
      </c>
      <c r="G52" s="20" t="s">
        <v>172</v>
      </c>
      <c r="H52" s="21" t="n">
        <f aca="false">IF(COUNTA($C$2:$C$91)&gt;=Summary!$C$6,Summary!$C$5,Summary!$C$4)</f>
        <v>0.9</v>
      </c>
      <c r="I52" s="22"/>
      <c r="J52" s="20"/>
    </row>
    <row r="53" customFormat="false" ht="26.85" hidden="false" customHeight="false" outlineLevel="0" collapsed="false">
      <c r="A53" s="26" t="n">
        <v>52</v>
      </c>
      <c r="B53" s="26" t="s">
        <v>14</v>
      </c>
      <c r="C53" s="26" t="s">
        <v>183</v>
      </c>
      <c r="D53" s="20" t="s">
        <v>57</v>
      </c>
      <c r="E53" s="20" t="s">
        <v>184</v>
      </c>
      <c r="F53" s="20" t="n">
        <f aca="false">COUNTIFS(Placements!$F:$F,$C53,Placements!$I:$I,"Yes")</f>
        <v>1</v>
      </c>
      <c r="G53" s="20" t="s">
        <v>172</v>
      </c>
      <c r="H53" s="21" t="n">
        <f aca="false">IF(COUNTA($C$2:$C$91)&gt;=Summary!$C$6,Summary!$C$5,Summary!$C$4)</f>
        <v>0.9</v>
      </c>
      <c r="I53" s="22"/>
      <c r="J53" s="20"/>
    </row>
    <row r="54" customFormat="false" ht="15" hidden="false" customHeight="false" outlineLevel="0" collapsed="false">
      <c r="A54" s="26" t="n">
        <v>53</v>
      </c>
      <c r="B54" s="26" t="s">
        <v>14</v>
      </c>
      <c r="C54" s="26" t="s">
        <v>185</v>
      </c>
      <c r="D54" s="20" t="s">
        <v>186</v>
      </c>
      <c r="E54" s="23" t="s">
        <v>187</v>
      </c>
      <c r="F54" s="20" t="n">
        <f aca="false">COUNTIFS(Placements!$F:$F,$C54,Placements!$I:$I,"Yes")</f>
        <v>1</v>
      </c>
      <c r="G54" s="20" t="s">
        <v>172</v>
      </c>
      <c r="H54" s="21" t="n">
        <f aca="false">IF(COUNTA($C$2:$C$91)&gt;=Summary!$C$6,Summary!$C$5,Summary!$C$4)</f>
        <v>0.9</v>
      </c>
      <c r="I54" s="22"/>
      <c r="J54" s="20"/>
    </row>
    <row r="55" customFormat="false" ht="26.85" hidden="false" customHeight="false" outlineLevel="0" collapsed="false">
      <c r="A55" s="26" t="n">
        <v>54</v>
      </c>
      <c r="B55" s="26" t="s">
        <v>14</v>
      </c>
      <c r="C55" s="26" t="s">
        <v>188</v>
      </c>
      <c r="D55" s="20" t="s">
        <v>57</v>
      </c>
      <c r="E55" s="20" t="s">
        <v>189</v>
      </c>
      <c r="F55" s="20" t="n">
        <f aca="false">COUNTIFS(Placements!$F:$F,$C55,Placements!$I:$I,"Yes")</f>
        <v>1</v>
      </c>
      <c r="G55" s="20" t="s">
        <v>190</v>
      </c>
      <c r="H55" s="21" t="n">
        <f aca="false">IF(COUNTA($C$2:$C$91)&gt;=Summary!$C$6,Summary!$C$5,Summary!$C$4)</f>
        <v>0.9</v>
      </c>
      <c r="I55" s="22"/>
      <c r="J55" s="20"/>
    </row>
    <row r="56" customFormat="false" ht="26.85" hidden="false" customHeight="false" outlineLevel="0" collapsed="false">
      <c r="A56" s="26" t="n">
        <v>55</v>
      </c>
      <c r="B56" s="26" t="s">
        <v>14</v>
      </c>
      <c r="C56" s="26" t="s">
        <v>191</v>
      </c>
      <c r="D56" s="20" t="s">
        <v>57</v>
      </c>
      <c r="E56" s="20" t="s">
        <v>192</v>
      </c>
      <c r="F56" s="20" t="n">
        <f aca="false">COUNTIFS(Placements!$F:$F,$C56,Placements!$I:$I,"Yes")</f>
        <v>1</v>
      </c>
      <c r="G56" s="20" t="s">
        <v>190</v>
      </c>
      <c r="H56" s="21" t="n">
        <f aca="false">IF(COUNTA($C$2:$C$91)&gt;=Summary!$C$6,Summary!$C$5,Summary!$C$4)</f>
        <v>0.9</v>
      </c>
      <c r="I56" s="22"/>
      <c r="J56" s="20"/>
    </row>
    <row r="57" customFormat="false" ht="26.85" hidden="false" customHeight="false" outlineLevel="0" collapsed="false">
      <c r="A57" s="26" t="n">
        <v>56</v>
      </c>
      <c r="B57" s="26" t="s">
        <v>14</v>
      </c>
      <c r="C57" s="26" t="s">
        <v>193</v>
      </c>
      <c r="D57" s="20" t="s">
        <v>57</v>
      </c>
      <c r="E57" s="20" t="s">
        <v>194</v>
      </c>
      <c r="F57" s="20" t="n">
        <f aca="false">COUNTIFS(Placements!$F:$F,$C57,Placements!$I:$I,"Yes")</f>
        <v>1</v>
      </c>
      <c r="G57" s="20" t="s">
        <v>190</v>
      </c>
      <c r="H57" s="21" t="n">
        <f aca="false">IF(COUNTA($C$2:$C$91)&gt;=Summary!$C$6,Summary!$C$5,Summary!$C$4)</f>
        <v>0.9</v>
      </c>
      <c r="I57" s="22"/>
      <c r="J57" s="20"/>
    </row>
    <row r="58" customFormat="false" ht="26.85" hidden="false" customHeight="false" outlineLevel="0" collapsed="false">
      <c r="A58" s="26" t="n">
        <v>57</v>
      </c>
      <c r="B58" s="26" t="s">
        <v>14</v>
      </c>
      <c r="C58" s="26" t="s">
        <v>195</v>
      </c>
      <c r="D58" s="20" t="s">
        <v>57</v>
      </c>
      <c r="E58" s="20" t="s">
        <v>196</v>
      </c>
      <c r="F58" s="20" t="n">
        <f aca="false">COUNTIFS(Placements!$F:$F,$C58,Placements!$I:$I,"Yes")</f>
        <v>1</v>
      </c>
      <c r="G58" s="20" t="s">
        <v>190</v>
      </c>
      <c r="H58" s="21" t="n">
        <f aca="false">IF(COUNTA($C$2:$C$91)&gt;=Summary!$C$6,Summary!$C$5,Summary!$C$4)</f>
        <v>0.9</v>
      </c>
      <c r="I58" s="22"/>
      <c r="J58" s="20"/>
    </row>
    <row r="59" customFormat="false" ht="26.85" hidden="false" customHeight="false" outlineLevel="0" collapsed="false">
      <c r="A59" s="26" t="n">
        <v>58</v>
      </c>
      <c r="B59" s="26" t="s">
        <v>14</v>
      </c>
      <c r="C59" s="26" t="s">
        <v>197</v>
      </c>
      <c r="D59" s="20" t="s">
        <v>57</v>
      </c>
      <c r="E59" s="20" t="s">
        <v>198</v>
      </c>
      <c r="F59" s="20" t="n">
        <f aca="false">COUNTIFS(Placements!$F:$F,$C59,Placements!$I:$I,"Yes")</f>
        <v>1</v>
      </c>
      <c r="G59" s="20" t="s">
        <v>190</v>
      </c>
      <c r="H59" s="21" t="n">
        <f aca="false">IF(COUNTA($C$2:$C$91)&gt;=Summary!$C$6,Summary!$C$5,Summary!$C$4)</f>
        <v>0.9</v>
      </c>
      <c r="I59" s="22"/>
      <c r="J59" s="20"/>
    </row>
    <row r="60" customFormat="false" ht="26.85" hidden="false" customHeight="false" outlineLevel="0" collapsed="false">
      <c r="A60" s="26" t="n">
        <v>59</v>
      </c>
      <c r="B60" s="26" t="s">
        <v>14</v>
      </c>
      <c r="C60" s="26" t="s">
        <v>199</v>
      </c>
      <c r="D60" s="20" t="s">
        <v>57</v>
      </c>
      <c r="E60" s="20" t="s">
        <v>200</v>
      </c>
      <c r="F60" s="20" t="n">
        <f aca="false">COUNTIFS(Placements!$F:$F,$C60,Placements!$I:$I,"Yes")</f>
        <v>1</v>
      </c>
      <c r="G60" s="20" t="s">
        <v>190</v>
      </c>
      <c r="H60" s="21" t="n">
        <f aca="false">IF(COUNTA($C$2:$C$91)&gt;=Summary!$C$6,Summary!$C$5,Summary!$C$4)</f>
        <v>0.9</v>
      </c>
      <c r="I60" s="22"/>
      <c r="J60" s="20"/>
    </row>
    <row r="61" customFormat="false" ht="26.85" hidden="false" customHeight="false" outlineLevel="0" collapsed="false">
      <c r="A61" s="26" t="n">
        <v>60</v>
      </c>
      <c r="B61" s="26" t="s">
        <v>14</v>
      </c>
      <c r="C61" s="26" t="s">
        <v>201</v>
      </c>
      <c r="D61" s="20" t="s">
        <v>57</v>
      </c>
      <c r="E61" s="20" t="s">
        <v>202</v>
      </c>
      <c r="F61" s="20" t="n">
        <f aca="false">COUNTIFS(Placements!$F:$F,$C61,Placements!$I:$I,"Yes")</f>
        <v>1</v>
      </c>
      <c r="G61" s="20" t="s">
        <v>203</v>
      </c>
      <c r="H61" s="21" t="n">
        <f aca="false">IF(COUNTA($C$2:$C$91)&gt;=Summary!$C$6,Summary!$C$5,Summary!$C$4)</f>
        <v>0.9</v>
      </c>
      <c r="I61" s="22"/>
      <c r="J61" s="20"/>
    </row>
    <row r="62" customFormat="false" ht="26.85" hidden="false" customHeight="false" outlineLevel="0" collapsed="false">
      <c r="A62" s="26" t="n">
        <v>61</v>
      </c>
      <c r="B62" s="26" t="s">
        <v>14</v>
      </c>
      <c r="C62" s="26" t="s">
        <v>204</v>
      </c>
      <c r="D62" s="20" t="s">
        <v>57</v>
      </c>
      <c r="E62" s="20" t="s">
        <v>205</v>
      </c>
      <c r="F62" s="20" t="n">
        <f aca="false">COUNTIFS(Placements!$F:$F,$C62,Placements!$I:$I,"Yes")</f>
        <v>1</v>
      </c>
      <c r="G62" s="20" t="s">
        <v>203</v>
      </c>
      <c r="H62" s="21" t="n">
        <f aca="false">IF(COUNTA($C$2:$C$91)&gt;=Summary!$C$6,Summary!$C$5,Summary!$C$4)</f>
        <v>0.9</v>
      </c>
      <c r="I62" s="22"/>
      <c r="J62" s="20"/>
    </row>
    <row r="63" customFormat="false" ht="26.85" hidden="false" customHeight="false" outlineLevel="0" collapsed="false">
      <c r="A63" s="26" t="n">
        <v>62</v>
      </c>
      <c r="B63" s="26" t="s">
        <v>14</v>
      </c>
      <c r="C63" s="26" t="s">
        <v>206</v>
      </c>
      <c r="D63" s="20" t="s">
        <v>57</v>
      </c>
      <c r="E63" s="20" t="s">
        <v>207</v>
      </c>
      <c r="F63" s="20" t="n">
        <f aca="false">COUNTIFS(Placements!$F:$F,$C63,Placements!$I:$I,"Yes")</f>
        <v>1</v>
      </c>
      <c r="G63" s="20" t="s">
        <v>203</v>
      </c>
      <c r="H63" s="21" t="n">
        <f aca="false">IF(COUNTA($C$2:$C$91)&gt;=Summary!$C$6,Summary!$C$5,Summary!$C$4)</f>
        <v>0.9</v>
      </c>
      <c r="I63" s="22"/>
      <c r="J63" s="20"/>
    </row>
    <row r="64" customFormat="false" ht="26.85" hidden="false" customHeight="false" outlineLevel="0" collapsed="false">
      <c r="A64" s="26" t="n">
        <v>63</v>
      </c>
      <c r="B64" s="26" t="s">
        <v>14</v>
      </c>
      <c r="C64" s="26" t="s">
        <v>208</v>
      </c>
      <c r="D64" s="20" t="s">
        <v>57</v>
      </c>
      <c r="E64" s="20" t="s">
        <v>209</v>
      </c>
      <c r="F64" s="20" t="n">
        <f aca="false">COUNTIFS(Placements!$F:$F,$C64,Placements!$I:$I,"Yes")</f>
        <v>1</v>
      </c>
      <c r="G64" s="20" t="s">
        <v>203</v>
      </c>
      <c r="H64" s="21" t="n">
        <f aca="false">IF(COUNTA($C$2:$C$91)&gt;=Summary!$C$6,Summary!$C$5,Summary!$C$4)</f>
        <v>0.9</v>
      </c>
      <c r="I64" s="22"/>
      <c r="J64" s="20"/>
    </row>
    <row r="65" customFormat="false" ht="26.85" hidden="false" customHeight="false" outlineLevel="0" collapsed="false">
      <c r="A65" s="26" t="n">
        <v>64</v>
      </c>
      <c r="B65" s="26" t="s">
        <v>14</v>
      </c>
      <c r="C65" s="26" t="s">
        <v>210</v>
      </c>
      <c r="D65" s="20" t="s">
        <v>57</v>
      </c>
      <c r="E65" s="20" t="s">
        <v>211</v>
      </c>
      <c r="F65" s="20" t="n">
        <f aca="false">COUNTIFS(Placements!$F:$F,$C65,Placements!$I:$I,"Yes")</f>
        <v>1</v>
      </c>
      <c r="G65" s="20" t="s">
        <v>203</v>
      </c>
      <c r="H65" s="21" t="n">
        <f aca="false">IF(COUNTA($C$2:$C$91)&gt;=Summary!$C$6,Summary!$C$5,Summary!$C$4)</f>
        <v>0.9</v>
      </c>
      <c r="I65" s="22"/>
      <c r="J65" s="20"/>
    </row>
    <row r="66" customFormat="false" ht="26.85" hidden="false" customHeight="false" outlineLevel="0" collapsed="false">
      <c r="A66" s="26" t="n">
        <v>65</v>
      </c>
      <c r="B66" s="26" t="s">
        <v>14</v>
      </c>
      <c r="C66" s="26" t="s">
        <v>212</v>
      </c>
      <c r="D66" s="20" t="s">
        <v>57</v>
      </c>
      <c r="E66" s="20" t="s">
        <v>213</v>
      </c>
      <c r="F66" s="20" t="n">
        <f aca="false">COUNTIFS(Placements!$F:$F,$C66,Placements!$I:$I,"Yes")</f>
        <v>1</v>
      </c>
      <c r="G66" s="20" t="s">
        <v>203</v>
      </c>
      <c r="H66" s="21" t="n">
        <f aca="false">IF(COUNTA($C$2:$C$91)&gt;=Summary!$C$6,Summary!$C$5,Summary!$C$4)</f>
        <v>0.9</v>
      </c>
      <c r="I66" s="22"/>
      <c r="J66" s="20"/>
    </row>
    <row r="67" customFormat="false" ht="26.85" hidden="false" customHeight="false" outlineLevel="0" collapsed="false">
      <c r="A67" s="26" t="n">
        <v>66</v>
      </c>
      <c r="B67" s="26" t="s">
        <v>14</v>
      </c>
      <c r="C67" s="26" t="s">
        <v>214</v>
      </c>
      <c r="D67" s="20" t="s">
        <v>57</v>
      </c>
      <c r="E67" s="20" t="s">
        <v>215</v>
      </c>
      <c r="F67" s="20" t="n">
        <f aca="false">COUNTIFS(Placements!$F:$F,$C67,Placements!$I:$I,"Yes")</f>
        <v>1</v>
      </c>
      <c r="G67" s="20" t="s">
        <v>203</v>
      </c>
      <c r="H67" s="21" t="n">
        <f aca="false">IF(COUNTA($C$2:$C$91)&gt;=Summary!$C$6,Summary!$C$5,Summary!$C$4)</f>
        <v>0.9</v>
      </c>
      <c r="I67" s="22"/>
      <c r="J67" s="20"/>
    </row>
    <row r="68" customFormat="false" ht="26.85" hidden="false" customHeight="false" outlineLevel="0" collapsed="false">
      <c r="A68" s="27" t="n">
        <v>67</v>
      </c>
      <c r="B68" s="27" t="s">
        <v>15</v>
      </c>
      <c r="C68" s="27" t="s">
        <v>216</v>
      </c>
      <c r="D68" s="20" t="s">
        <v>57</v>
      </c>
      <c r="E68" s="20" t="s">
        <v>217</v>
      </c>
      <c r="F68" s="20" t="n">
        <f aca="false">COUNTIFS(Placements!$F:$F,$C68,Placements!$I:$I,"Yes")</f>
        <v>1</v>
      </c>
      <c r="G68" s="20" t="s">
        <v>85</v>
      </c>
      <c r="H68" s="21" t="n">
        <f aca="false">IF(COUNTA($C$2:$C$91)&gt;=Summary!$C$6,Summary!$C$5,Summary!$C$4)</f>
        <v>0.9</v>
      </c>
      <c r="I68" s="22"/>
      <c r="J68" s="20"/>
    </row>
    <row r="69" customFormat="false" ht="26.85" hidden="false" customHeight="false" outlineLevel="0" collapsed="false">
      <c r="A69" s="27" t="n">
        <v>68</v>
      </c>
      <c r="B69" s="27" t="s">
        <v>15</v>
      </c>
      <c r="C69" s="27" t="s">
        <v>218</v>
      </c>
      <c r="D69" s="20" t="s">
        <v>57</v>
      </c>
      <c r="E69" s="20" t="s">
        <v>219</v>
      </c>
      <c r="F69" s="20" t="n">
        <f aca="false">COUNTIFS(Placements!$F:$F,$C69,Placements!$I:$I,"Yes")</f>
        <v>1</v>
      </c>
      <c r="G69" s="20" t="s">
        <v>220</v>
      </c>
      <c r="H69" s="21" t="n">
        <f aca="false">IF(COUNTA($C$2:$C$91)&gt;=Summary!$C$6,Summary!$C$5,Summary!$C$4)</f>
        <v>0.9</v>
      </c>
      <c r="I69" s="22"/>
      <c r="J69" s="20"/>
    </row>
    <row r="70" customFormat="false" ht="26.85" hidden="false" customHeight="false" outlineLevel="0" collapsed="false">
      <c r="A70" s="27" t="n">
        <v>69</v>
      </c>
      <c r="B70" s="27" t="s">
        <v>15</v>
      </c>
      <c r="C70" s="27" t="s">
        <v>221</v>
      </c>
      <c r="D70" s="20" t="s">
        <v>57</v>
      </c>
      <c r="E70" s="20" t="s">
        <v>222</v>
      </c>
      <c r="F70" s="20" t="n">
        <f aca="false">COUNTIFS(Placements!$F:$F,$C70,Placements!$I:$I,"Yes")</f>
        <v>1</v>
      </c>
      <c r="G70" s="20" t="s">
        <v>220</v>
      </c>
      <c r="H70" s="21" t="n">
        <f aca="false">IF(COUNTA($C$2:$C$91)&gt;=Summary!$C$6,Summary!$C$5,Summary!$C$4)</f>
        <v>0.9</v>
      </c>
      <c r="I70" s="22"/>
      <c r="J70" s="20"/>
    </row>
    <row r="71" customFormat="false" ht="26.85" hidden="false" customHeight="false" outlineLevel="0" collapsed="false">
      <c r="A71" s="27" t="n">
        <v>70</v>
      </c>
      <c r="B71" s="27" t="s">
        <v>15</v>
      </c>
      <c r="C71" s="27" t="s">
        <v>223</v>
      </c>
      <c r="D71" s="20" t="s">
        <v>57</v>
      </c>
      <c r="E71" s="20" t="s">
        <v>224</v>
      </c>
      <c r="F71" s="20" t="n">
        <f aca="false">COUNTIFS(Placements!$F:$F,$C71,Placements!$I:$I,"Yes")</f>
        <v>1</v>
      </c>
      <c r="G71" s="20" t="s">
        <v>220</v>
      </c>
      <c r="H71" s="21" t="n">
        <f aca="false">IF(COUNTA($C$2:$C$91)&gt;=Summary!$C$6,Summary!$C$5,Summary!$C$4)</f>
        <v>0.9</v>
      </c>
      <c r="I71" s="22"/>
      <c r="J71" s="20"/>
    </row>
    <row r="72" customFormat="false" ht="26.85" hidden="false" customHeight="false" outlineLevel="0" collapsed="false">
      <c r="A72" s="27" t="n">
        <v>71</v>
      </c>
      <c r="B72" s="27" t="s">
        <v>15</v>
      </c>
      <c r="C72" s="27" t="s">
        <v>225</v>
      </c>
      <c r="D72" s="20" t="s">
        <v>57</v>
      </c>
      <c r="E72" s="20" t="s">
        <v>226</v>
      </c>
      <c r="F72" s="20" t="n">
        <f aca="false">COUNTIFS(Placements!$F:$F,$C72,Placements!$I:$I,"Yes")</f>
        <v>1</v>
      </c>
      <c r="G72" s="20" t="s">
        <v>220</v>
      </c>
      <c r="H72" s="21" t="n">
        <f aca="false">IF(COUNTA($C$2:$C$91)&gt;=Summary!$C$6,Summary!$C$5,Summary!$C$4)</f>
        <v>0.9</v>
      </c>
      <c r="I72" s="22"/>
      <c r="J72" s="20"/>
    </row>
    <row r="73" customFormat="false" ht="26.85" hidden="false" customHeight="false" outlineLevel="0" collapsed="false">
      <c r="A73" s="27" t="n">
        <v>72</v>
      </c>
      <c r="B73" s="27" t="s">
        <v>15</v>
      </c>
      <c r="C73" s="27" t="s">
        <v>227</v>
      </c>
      <c r="D73" s="20" t="s">
        <v>57</v>
      </c>
      <c r="E73" s="20" t="s">
        <v>228</v>
      </c>
      <c r="F73" s="20" t="n">
        <f aca="false">COUNTIFS(Placements!$F:$F,$C73,Placements!$I:$I,"Yes")</f>
        <v>1</v>
      </c>
      <c r="G73" s="20" t="s">
        <v>220</v>
      </c>
      <c r="H73" s="21" t="n">
        <f aca="false">IF(COUNTA($C$2:$C$91)&gt;=Summary!$C$6,Summary!$C$5,Summary!$C$4)</f>
        <v>0.9</v>
      </c>
      <c r="I73" s="22"/>
      <c r="J73" s="20"/>
    </row>
    <row r="74" customFormat="false" ht="26.85" hidden="false" customHeight="false" outlineLevel="0" collapsed="false">
      <c r="A74" s="27" t="n">
        <v>73</v>
      </c>
      <c r="B74" s="27" t="s">
        <v>15</v>
      </c>
      <c r="C74" s="27" t="s">
        <v>229</v>
      </c>
      <c r="D74" s="20" t="s">
        <v>57</v>
      </c>
      <c r="E74" s="20" t="s">
        <v>230</v>
      </c>
      <c r="F74" s="20" t="n">
        <f aca="false">COUNTIFS(Placements!$F:$F,$C74,Placements!$I:$I,"Yes")</f>
        <v>1</v>
      </c>
      <c r="G74" s="20" t="s">
        <v>220</v>
      </c>
      <c r="H74" s="21" t="n">
        <f aca="false">IF(COUNTA($C$2:$C$91)&gt;=Summary!$C$6,Summary!$C$5,Summary!$C$4)</f>
        <v>0.9</v>
      </c>
      <c r="I74" s="22"/>
      <c r="J74" s="20"/>
    </row>
    <row r="75" customFormat="false" ht="26.85" hidden="false" customHeight="false" outlineLevel="0" collapsed="false">
      <c r="A75" s="27" t="n">
        <v>74</v>
      </c>
      <c r="B75" s="27" t="s">
        <v>15</v>
      </c>
      <c r="C75" s="27" t="s">
        <v>231</v>
      </c>
      <c r="D75" s="20" t="s">
        <v>57</v>
      </c>
      <c r="E75" s="20" t="s">
        <v>232</v>
      </c>
      <c r="F75" s="20" t="n">
        <f aca="false">COUNTIFS(Placements!$F:$F,$C75,Placements!$I:$I,"Yes")</f>
        <v>1</v>
      </c>
      <c r="G75" s="20" t="s">
        <v>220</v>
      </c>
      <c r="H75" s="21" t="n">
        <f aca="false">IF(COUNTA($C$2:$C$91)&gt;=Summary!$C$6,Summary!$C$5,Summary!$C$4)</f>
        <v>0.9</v>
      </c>
      <c r="I75" s="22"/>
      <c r="J75" s="20"/>
    </row>
    <row r="76" customFormat="false" ht="26.85" hidden="false" customHeight="false" outlineLevel="0" collapsed="false">
      <c r="A76" s="27" t="n">
        <v>75</v>
      </c>
      <c r="B76" s="27" t="s">
        <v>15</v>
      </c>
      <c r="C76" s="27" t="s">
        <v>233</v>
      </c>
      <c r="D76" s="20" t="s">
        <v>57</v>
      </c>
      <c r="E76" s="20" t="s">
        <v>234</v>
      </c>
      <c r="F76" s="20" t="n">
        <f aca="false">COUNTIFS(Placements!$F:$F,$C76,Placements!$I:$I,"Yes")</f>
        <v>1</v>
      </c>
      <c r="G76" s="20" t="s">
        <v>220</v>
      </c>
      <c r="H76" s="21" t="n">
        <f aca="false">IF(COUNTA($C$2:$C$91)&gt;=Summary!$C$6,Summary!$C$5,Summary!$C$4)</f>
        <v>0.9</v>
      </c>
      <c r="I76" s="22"/>
      <c r="J76" s="20"/>
    </row>
    <row r="77" customFormat="false" ht="26.85" hidden="false" customHeight="false" outlineLevel="0" collapsed="false">
      <c r="A77" s="27" t="n">
        <v>76</v>
      </c>
      <c r="B77" s="27" t="s">
        <v>15</v>
      </c>
      <c r="C77" s="27" t="s">
        <v>235</v>
      </c>
      <c r="D77" s="20" t="s">
        <v>57</v>
      </c>
      <c r="E77" s="20" t="s">
        <v>236</v>
      </c>
      <c r="F77" s="20" t="n">
        <f aca="false">COUNTIFS(Placements!$F:$F,$C77,Placements!$I:$I,"Yes")</f>
        <v>1</v>
      </c>
      <c r="G77" s="20" t="s">
        <v>220</v>
      </c>
      <c r="H77" s="21" t="n">
        <f aca="false">IF(COUNTA($C$2:$C$91)&gt;=Summary!$C$6,Summary!$C$5,Summary!$C$4)</f>
        <v>0.9</v>
      </c>
      <c r="I77" s="22"/>
      <c r="J77" s="20"/>
    </row>
    <row r="78" customFormat="false" ht="26.85" hidden="false" customHeight="false" outlineLevel="0" collapsed="false">
      <c r="A78" s="27" t="n">
        <v>77</v>
      </c>
      <c r="B78" s="27" t="s">
        <v>15</v>
      </c>
      <c r="C78" s="27" t="s">
        <v>237</v>
      </c>
      <c r="D78" s="20" t="s">
        <v>57</v>
      </c>
      <c r="E78" s="20" t="s">
        <v>238</v>
      </c>
      <c r="F78" s="20" t="n">
        <f aca="false">COUNTIFS(Placements!$F:$F,$C78,Placements!$I:$I,"Yes")</f>
        <v>1</v>
      </c>
      <c r="G78" s="20" t="s">
        <v>220</v>
      </c>
      <c r="H78" s="21" t="n">
        <f aca="false">IF(COUNTA($C$2:$C$91)&gt;=Summary!$C$6,Summary!$C$5,Summary!$C$4)</f>
        <v>0.9</v>
      </c>
      <c r="I78" s="22"/>
      <c r="J78" s="20"/>
    </row>
    <row r="79" customFormat="false" ht="26.85" hidden="false" customHeight="false" outlineLevel="0" collapsed="false">
      <c r="A79" s="27" t="n">
        <v>78</v>
      </c>
      <c r="B79" s="27" t="s">
        <v>15</v>
      </c>
      <c r="C79" s="27" t="s">
        <v>239</v>
      </c>
      <c r="D79" s="20" t="s">
        <v>57</v>
      </c>
      <c r="E79" s="20" t="s">
        <v>240</v>
      </c>
      <c r="F79" s="20" t="n">
        <f aca="false">COUNTIFS(Placements!$F:$F,$C79,Placements!$I:$I,"Yes")</f>
        <v>1</v>
      </c>
      <c r="G79" s="20" t="s">
        <v>220</v>
      </c>
      <c r="H79" s="21" t="n">
        <f aca="false">IF(COUNTA($C$2:$C$91)&gt;=Summary!$C$6,Summary!$C$5,Summary!$C$4)</f>
        <v>0.9</v>
      </c>
      <c r="I79" s="22"/>
      <c r="J79" s="20"/>
    </row>
    <row r="80" customFormat="false" ht="26.85" hidden="false" customHeight="false" outlineLevel="0" collapsed="false">
      <c r="A80" s="27" t="n">
        <v>79</v>
      </c>
      <c r="B80" s="27" t="s">
        <v>15</v>
      </c>
      <c r="C80" s="27" t="s">
        <v>241</v>
      </c>
      <c r="D80" s="20" t="s">
        <v>57</v>
      </c>
      <c r="E80" s="20" t="s">
        <v>242</v>
      </c>
      <c r="F80" s="20" t="n">
        <f aca="false">COUNTIFS(Placements!$F:$F,$C80,Placements!$I:$I,"Yes")</f>
        <v>1</v>
      </c>
      <c r="G80" s="20" t="s">
        <v>220</v>
      </c>
      <c r="H80" s="21" t="n">
        <f aca="false">IF(COUNTA($C$2:$C$91)&gt;=Summary!$C$6,Summary!$C$5,Summary!$C$4)</f>
        <v>0.9</v>
      </c>
      <c r="I80" s="22"/>
      <c r="J80" s="20"/>
    </row>
    <row r="81" customFormat="false" ht="26.85" hidden="false" customHeight="false" outlineLevel="0" collapsed="false">
      <c r="A81" s="27" t="n">
        <v>80</v>
      </c>
      <c r="B81" s="27" t="s">
        <v>15</v>
      </c>
      <c r="C81" s="27" t="s">
        <v>243</v>
      </c>
      <c r="D81" s="20" t="s">
        <v>57</v>
      </c>
      <c r="E81" s="20" t="s">
        <v>244</v>
      </c>
      <c r="F81" s="20" t="n">
        <f aca="false">COUNTIFS(Placements!$F:$F,$C81,Placements!$I:$I,"Yes")</f>
        <v>1</v>
      </c>
      <c r="G81" s="20" t="s">
        <v>220</v>
      </c>
      <c r="H81" s="21" t="n">
        <f aca="false">IF(COUNTA($C$2:$C$91)&gt;=Summary!$C$6,Summary!$C$5,Summary!$C$4)</f>
        <v>0.9</v>
      </c>
      <c r="I81" s="22"/>
      <c r="J81" s="20"/>
    </row>
    <row r="82" customFormat="false" ht="26.85" hidden="false" customHeight="false" outlineLevel="0" collapsed="false">
      <c r="A82" s="28" t="n">
        <v>81</v>
      </c>
      <c r="B82" s="28" t="s">
        <v>16</v>
      </c>
      <c r="C82" s="28" t="s">
        <v>245</v>
      </c>
      <c r="D82" s="20" t="s">
        <v>57</v>
      </c>
      <c r="E82" s="20" t="s">
        <v>246</v>
      </c>
      <c r="F82" s="20" t="n">
        <f aca="false">COUNTIFS(Placements!$F:$F,$C82,Placements!$I:$I,"Yes")</f>
        <v>1</v>
      </c>
      <c r="G82" s="20" t="s">
        <v>79</v>
      </c>
      <c r="H82" s="21" t="n">
        <f aca="false">IF(COUNTA($C$2:$C$91)&gt;=Summary!$C$6,Summary!$C$5,Summary!$C$4)</f>
        <v>0.9</v>
      </c>
      <c r="I82" s="22"/>
      <c r="J82" s="20"/>
    </row>
    <row r="83" customFormat="false" ht="26.85" hidden="false" customHeight="false" outlineLevel="0" collapsed="false">
      <c r="A83" s="28" t="n">
        <v>82</v>
      </c>
      <c r="B83" s="28" t="s">
        <v>16</v>
      </c>
      <c r="C83" s="28" t="s">
        <v>247</v>
      </c>
      <c r="D83" s="20" t="s">
        <v>57</v>
      </c>
      <c r="E83" s="20" t="s">
        <v>248</v>
      </c>
      <c r="F83" s="20" t="n">
        <f aca="false">COUNTIFS(Placements!$F:$F,$C83,Placements!$I:$I,"Yes")</f>
        <v>1</v>
      </c>
      <c r="G83" s="20" t="s">
        <v>79</v>
      </c>
      <c r="H83" s="21" t="n">
        <f aca="false">IF(COUNTA($C$2:$C$91)&gt;=Summary!$C$6,Summary!$C$5,Summary!$C$4)</f>
        <v>0.9</v>
      </c>
      <c r="I83" s="22"/>
      <c r="J83" s="20"/>
    </row>
    <row r="84" customFormat="false" ht="26.85" hidden="false" customHeight="false" outlineLevel="0" collapsed="false">
      <c r="A84" s="28" t="n">
        <v>83</v>
      </c>
      <c r="B84" s="28" t="s">
        <v>16</v>
      </c>
      <c r="C84" s="28" t="s">
        <v>249</v>
      </c>
      <c r="D84" s="20" t="s">
        <v>57</v>
      </c>
      <c r="E84" s="20" t="s">
        <v>250</v>
      </c>
      <c r="F84" s="20" t="n">
        <f aca="false">COUNTIFS(Placements!$F:$F,$C84,Placements!$I:$I,"Yes")</f>
        <v>1</v>
      </c>
      <c r="G84" s="20" t="s">
        <v>79</v>
      </c>
      <c r="H84" s="21" t="n">
        <f aca="false">IF(COUNTA($C$2:$C$91)&gt;=Summary!$C$6,Summary!$C$5,Summary!$C$4)</f>
        <v>0.9</v>
      </c>
      <c r="I84" s="22"/>
      <c r="J84" s="20"/>
    </row>
    <row r="85" customFormat="false" ht="26.85" hidden="false" customHeight="false" outlineLevel="0" collapsed="false">
      <c r="A85" s="28" t="n">
        <v>84</v>
      </c>
      <c r="B85" s="28" t="s">
        <v>16</v>
      </c>
      <c r="C85" s="28" t="s">
        <v>251</v>
      </c>
      <c r="D85" s="20" t="s">
        <v>57</v>
      </c>
      <c r="E85" s="20" t="s">
        <v>252</v>
      </c>
      <c r="F85" s="20" t="n">
        <f aca="false">COUNTIFS(Placements!$F:$F,$C85,Placements!$I:$I,"Yes")</f>
        <v>1</v>
      </c>
      <c r="G85" s="20" t="s">
        <v>79</v>
      </c>
      <c r="H85" s="21" t="n">
        <f aca="false">IF(COUNTA($C$2:$C$91)&gt;=Summary!$C$6,Summary!$C$5,Summary!$C$4)</f>
        <v>0.9</v>
      </c>
      <c r="I85" s="22"/>
      <c r="J85" s="20"/>
    </row>
    <row r="86" customFormat="false" ht="26.85" hidden="false" customHeight="false" outlineLevel="0" collapsed="false">
      <c r="A86" s="28" t="n">
        <v>85</v>
      </c>
      <c r="B86" s="28" t="s">
        <v>16</v>
      </c>
      <c r="C86" s="28" t="s">
        <v>253</v>
      </c>
      <c r="D86" s="20" t="s">
        <v>57</v>
      </c>
      <c r="E86" s="20" t="s">
        <v>254</v>
      </c>
      <c r="F86" s="20" t="n">
        <f aca="false">COUNTIFS(Placements!$F:$F,$C86,Placements!$I:$I,"Yes")</f>
        <v>1</v>
      </c>
      <c r="G86" s="20" t="s">
        <v>79</v>
      </c>
      <c r="H86" s="21" t="n">
        <f aca="false">IF(COUNTA($C$2:$C$91)&gt;=Summary!$C$6,Summary!$C$5,Summary!$C$4)</f>
        <v>0.9</v>
      </c>
      <c r="I86" s="22"/>
      <c r="J86" s="20"/>
    </row>
    <row r="87" customFormat="false" ht="26.85" hidden="false" customHeight="false" outlineLevel="0" collapsed="false">
      <c r="A87" s="28" t="n">
        <v>86</v>
      </c>
      <c r="B87" s="28" t="s">
        <v>16</v>
      </c>
      <c r="C87" s="28" t="s">
        <v>255</v>
      </c>
      <c r="D87" s="20" t="s">
        <v>57</v>
      </c>
      <c r="E87" s="20" t="s">
        <v>256</v>
      </c>
      <c r="F87" s="20" t="n">
        <f aca="false">COUNTIFS(Placements!$F:$F,$C87,Placements!$I:$I,"Yes")</f>
        <v>1</v>
      </c>
      <c r="G87" s="20" t="s">
        <v>79</v>
      </c>
      <c r="H87" s="21" t="n">
        <f aca="false">IF(COUNTA($C$2:$C$91)&gt;=Summary!$C$6,Summary!$C$5,Summary!$C$4)</f>
        <v>0.9</v>
      </c>
      <c r="I87" s="22"/>
      <c r="J87" s="20"/>
    </row>
    <row r="88" customFormat="false" ht="26.85" hidden="false" customHeight="false" outlineLevel="0" collapsed="false">
      <c r="A88" s="28" t="n">
        <v>87</v>
      </c>
      <c r="B88" s="28" t="s">
        <v>16</v>
      </c>
      <c r="C88" s="28" t="s">
        <v>257</v>
      </c>
      <c r="D88" s="20" t="s">
        <v>57</v>
      </c>
      <c r="E88" s="20" t="s">
        <v>258</v>
      </c>
      <c r="F88" s="20" t="n">
        <f aca="false">COUNTIFS(Placements!$F:$F,$C88,Placements!$I:$I,"Yes")</f>
        <v>1</v>
      </c>
      <c r="G88" s="20" t="s">
        <v>79</v>
      </c>
      <c r="H88" s="21" t="n">
        <f aca="false">IF(COUNTA($C$2:$C$91)&gt;=Summary!$C$6,Summary!$C$5,Summary!$C$4)</f>
        <v>0.9</v>
      </c>
      <c r="I88" s="22"/>
      <c r="J88" s="20"/>
    </row>
    <row r="89" customFormat="false" ht="26.85" hidden="false" customHeight="false" outlineLevel="0" collapsed="false">
      <c r="A89" s="28" t="n">
        <v>88</v>
      </c>
      <c r="B89" s="28" t="s">
        <v>16</v>
      </c>
      <c r="C89" s="28" t="s">
        <v>259</v>
      </c>
      <c r="D89" s="20" t="s">
        <v>57</v>
      </c>
      <c r="E89" s="20" t="s">
        <v>260</v>
      </c>
      <c r="F89" s="20" t="n">
        <f aca="false">COUNTIFS(Placements!$F:$F,$C89,Placements!$I:$I,"Yes")</f>
        <v>1</v>
      </c>
      <c r="G89" s="20" t="s">
        <v>79</v>
      </c>
      <c r="H89" s="21" t="n">
        <f aca="false">IF(COUNTA($C$2:$C$91)&gt;=Summary!$C$6,Summary!$C$5,Summary!$C$4)</f>
        <v>0.9</v>
      </c>
      <c r="I89" s="22"/>
      <c r="J89" s="20"/>
    </row>
    <row r="90" customFormat="false" ht="26.85" hidden="false" customHeight="false" outlineLevel="0" collapsed="false">
      <c r="A90" s="28" t="n">
        <v>89</v>
      </c>
      <c r="B90" s="28" t="s">
        <v>16</v>
      </c>
      <c r="C90" s="28" t="s">
        <v>261</v>
      </c>
      <c r="D90" s="20" t="s">
        <v>57</v>
      </c>
      <c r="E90" s="20" t="s">
        <v>262</v>
      </c>
      <c r="F90" s="20" t="n">
        <f aca="false">COUNTIFS(Placements!$F:$F,$C90,Placements!$I:$I,"Yes")</f>
        <v>1</v>
      </c>
      <c r="G90" s="20" t="s">
        <v>79</v>
      </c>
      <c r="H90" s="21" t="n">
        <f aca="false">IF(COUNTA($C$2:$C$91)&gt;=Summary!$C$6,Summary!$C$5,Summary!$C$4)</f>
        <v>0.9</v>
      </c>
      <c r="I90" s="22"/>
      <c r="J90" s="20"/>
    </row>
    <row r="91" customFormat="false" ht="26.85" hidden="false" customHeight="false" outlineLevel="0" collapsed="false">
      <c r="A91" s="28" t="n">
        <v>90</v>
      </c>
      <c r="B91" s="28" t="s">
        <v>16</v>
      </c>
      <c r="C91" s="28" t="s">
        <v>263</v>
      </c>
      <c r="D91" s="20" t="s">
        <v>57</v>
      </c>
      <c r="E91" s="20" t="s">
        <v>264</v>
      </c>
      <c r="F91" s="20" t="n">
        <f aca="false">COUNTIFS(Placements!$F:$F,$C91,Placements!$I:$I,"Yes")</f>
        <v>1</v>
      </c>
      <c r="G91" s="20" t="s">
        <v>82</v>
      </c>
      <c r="H91" s="21" t="n">
        <f aca="false">IF(COUNTA($C$2:$C$91)&gt;=Summary!$C$6,Summary!$C$5,Summary!$C$4)</f>
        <v>0.9</v>
      </c>
      <c r="I91" s="22"/>
      <c r="J91" s="20"/>
    </row>
  </sheetData>
  <autoFilter ref="A1:J91"/>
  <dataValidations count="1">
    <dataValidation allowBlank="true" errorStyle="stop" operator="between" showDropDown="false" showErrorMessage="false" showInputMessage="false" sqref="I2:I91" type="list">
      <formula1>"Y,N"</formula1>
      <formula2>0</formula2>
    </dataValidation>
  </dataValidations>
  <hyperlinks>
    <hyperlink ref="E5" r:id="rId1" display="https://gymvisual.com/animated-gifs/10176-dead-bug-with-medicine-ball-male.html"/>
    <hyperlink ref="E6" r:id="rId2" display="https://gymvisual.com/animated-gifs/13026-medicine-ball-lying-leg-raise.html"/>
    <hyperlink ref="E12" r:id="rId3" display="https://gymvisual.com/animated-gifs/3125-medicine-ball-overhead-slam.html"/>
    <hyperlink ref="E17" r:id="rId4" display="https://gymvisual.com/animated-gifs/13860-medicine-ball-chest-pass-against-wall.html"/>
    <hyperlink ref="E25" r:id="rId5" display="https://gymvisual.com/animated-gifs/2691-russian-twist-with-medicine-ball.html"/>
    <hyperlink ref="E54" r:id="rId6" display="https://gymvisual.com/animated-gifs/5492-wall-ball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46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70"/>
  </cols>
  <sheetData>
    <row r="1" customFormat="false" ht="31.5" hidden="false" customHeight="true" outlineLevel="0" collapsed="false">
      <c r="A1" s="18" t="s">
        <v>265</v>
      </c>
      <c r="B1" s="18" t="s">
        <v>266</v>
      </c>
      <c r="C1" s="18" t="s">
        <v>267</v>
      </c>
      <c r="D1" s="18" t="s">
        <v>268</v>
      </c>
      <c r="E1" s="18" t="s">
        <v>269</v>
      </c>
      <c r="F1" s="18" t="s">
        <v>270</v>
      </c>
      <c r="G1" s="18" t="s">
        <v>271</v>
      </c>
      <c r="H1" s="18" t="s">
        <v>31</v>
      </c>
      <c r="I1" s="18" t="s">
        <v>272</v>
      </c>
      <c r="J1" s="18" t="s">
        <v>47</v>
      </c>
      <c r="K1" s="18" t="s">
        <v>27</v>
      </c>
      <c r="L1" s="18" t="s">
        <v>273</v>
      </c>
    </row>
    <row r="2" customFormat="false" ht="26.85" hidden="false" customHeight="false" outlineLevel="0" collapsed="false">
      <c r="A2" s="20" t="n">
        <v>1</v>
      </c>
      <c r="B2" s="23" t="s">
        <v>274</v>
      </c>
      <c r="C2" s="20" t="s">
        <v>275</v>
      </c>
      <c r="D2" s="20" t="s">
        <v>276</v>
      </c>
      <c r="E2" s="20" t="s">
        <v>277</v>
      </c>
      <c r="F2" s="20" t="s">
        <v>86</v>
      </c>
      <c r="G2" s="28" t="s">
        <v>25</v>
      </c>
      <c r="H2" s="20" t="s">
        <v>278</v>
      </c>
      <c r="I2" s="20" t="s">
        <v>279</v>
      </c>
      <c r="J2" s="20" t="str">
        <f aca="false">IF($I2="Yes",IFERROR(INDEX('Buy List'!$A$2:$A$91,MATCH($F2,'Buy List'!$C$2:$C$91,0)),"-"),"-")</f>
        <v>-</v>
      </c>
      <c r="K2" s="24" t="s">
        <v>28</v>
      </c>
      <c r="L2" s="20" t="s">
        <v>280</v>
      </c>
    </row>
    <row r="3" customFormat="false" ht="26.85" hidden="false" customHeight="false" outlineLevel="0" collapsed="false">
      <c r="A3" s="20" t="n">
        <v>2</v>
      </c>
      <c r="B3" s="23" t="s">
        <v>274</v>
      </c>
      <c r="C3" s="20" t="s">
        <v>281</v>
      </c>
      <c r="D3" s="20" t="s">
        <v>282</v>
      </c>
      <c r="E3" s="20" t="s">
        <v>283</v>
      </c>
      <c r="F3" s="20" t="s">
        <v>210</v>
      </c>
      <c r="G3" s="28" t="s">
        <v>25</v>
      </c>
      <c r="H3" s="20" t="s">
        <v>278</v>
      </c>
      <c r="I3" s="20" t="s">
        <v>279</v>
      </c>
      <c r="J3" s="20" t="str">
        <f aca="false">IF($I3="Yes",IFERROR(INDEX('Buy List'!$A$2:$A$91,MATCH($F3,'Buy List'!$C$2:$C$91,0)),"-"),"-")</f>
        <v>-</v>
      </c>
      <c r="K3" s="24" t="s">
        <v>28</v>
      </c>
      <c r="L3" s="20" t="s">
        <v>284</v>
      </c>
    </row>
    <row r="4" customFormat="false" ht="26.85" hidden="false" customHeight="false" outlineLevel="0" collapsed="false">
      <c r="A4" s="20" t="n">
        <v>3</v>
      </c>
      <c r="B4" s="23" t="s">
        <v>274</v>
      </c>
      <c r="C4" s="20" t="s">
        <v>285</v>
      </c>
      <c r="D4" s="20" t="s">
        <v>286</v>
      </c>
      <c r="E4" s="20" t="s">
        <v>287</v>
      </c>
      <c r="F4" s="20" t="s">
        <v>90</v>
      </c>
      <c r="G4" s="24" t="s">
        <v>21</v>
      </c>
      <c r="H4" s="20"/>
      <c r="I4" s="20" t="s">
        <v>288</v>
      </c>
      <c r="J4" s="20" t="n">
        <f aca="false">IF($I4="Yes",IFERROR(INDEX('Buy List'!$A$2:$A$91,MATCH($F4,'Buy List'!$C$2:$C$91,0)),"-"),"-")</f>
        <v>12</v>
      </c>
      <c r="K4" s="24" t="s">
        <v>28</v>
      </c>
      <c r="L4" s="20" t="s">
        <v>289</v>
      </c>
    </row>
    <row r="5" customFormat="false" ht="26.85" hidden="false" customHeight="false" outlineLevel="0" collapsed="false">
      <c r="A5" s="20" t="n">
        <v>4</v>
      </c>
      <c r="B5" s="23" t="s">
        <v>274</v>
      </c>
      <c r="C5" s="20" t="s">
        <v>290</v>
      </c>
      <c r="D5" s="20" t="s">
        <v>291</v>
      </c>
      <c r="E5" s="20" t="s">
        <v>292</v>
      </c>
      <c r="F5" s="20" t="s">
        <v>102</v>
      </c>
      <c r="G5" s="24" t="s">
        <v>21</v>
      </c>
      <c r="H5" s="20"/>
      <c r="I5" s="20" t="s">
        <v>288</v>
      </c>
      <c r="J5" s="20" t="n">
        <f aca="false">IF($I5="Yes",IFERROR(INDEX('Buy List'!$A$2:$A$91,MATCH($F5,'Buy List'!$C$2:$C$91,0)),"-"),"-")</f>
        <v>16</v>
      </c>
      <c r="K5" s="24" t="s">
        <v>28</v>
      </c>
      <c r="L5" s="20" t="s">
        <v>293</v>
      </c>
    </row>
    <row r="6" customFormat="false" ht="26.85" hidden="false" customHeight="false" outlineLevel="0" collapsed="false">
      <c r="A6" s="20" t="n">
        <v>5</v>
      </c>
      <c r="B6" s="23" t="s">
        <v>274</v>
      </c>
      <c r="C6" s="20" t="s">
        <v>294</v>
      </c>
      <c r="D6" s="20" t="s">
        <v>295</v>
      </c>
      <c r="E6" s="20" t="s">
        <v>296</v>
      </c>
      <c r="F6" s="20" t="s">
        <v>123</v>
      </c>
      <c r="G6" s="28" t="s">
        <v>25</v>
      </c>
      <c r="H6" s="20" t="s">
        <v>278</v>
      </c>
      <c r="I6" s="20" t="s">
        <v>279</v>
      </c>
      <c r="J6" s="20" t="str">
        <f aca="false">IF($I6="Yes",IFERROR(INDEX('Buy List'!$A$2:$A$91,MATCH($F6,'Buy List'!$C$2:$C$91,0)),"-"),"-")</f>
        <v>-</v>
      </c>
      <c r="K6" s="26" t="s">
        <v>29</v>
      </c>
      <c r="L6" s="20" t="s">
        <v>297</v>
      </c>
    </row>
    <row r="7" customFormat="false" ht="26.85" hidden="false" customHeight="false" outlineLevel="0" collapsed="false">
      <c r="A7" s="20" t="n">
        <v>6</v>
      </c>
      <c r="B7" s="23" t="s">
        <v>274</v>
      </c>
      <c r="C7" s="20" t="s">
        <v>298</v>
      </c>
      <c r="D7" s="20" t="s">
        <v>299</v>
      </c>
      <c r="E7" s="20" t="s">
        <v>300</v>
      </c>
      <c r="F7" s="20" t="s">
        <v>106</v>
      </c>
      <c r="G7" s="24" t="s">
        <v>21</v>
      </c>
      <c r="H7" s="20"/>
      <c r="I7" s="20" t="s">
        <v>288</v>
      </c>
      <c r="J7" s="20" t="n">
        <f aca="false">IF($I7="Yes",IFERROR(INDEX('Buy List'!$A$2:$A$91,MATCH($F7,'Buy List'!$C$2:$C$91,0)),"-"),"-")</f>
        <v>17</v>
      </c>
      <c r="K7" s="24" t="s">
        <v>28</v>
      </c>
      <c r="L7" s="20" t="s">
        <v>301</v>
      </c>
    </row>
    <row r="8" customFormat="false" ht="26.85" hidden="false" customHeight="false" outlineLevel="0" collapsed="false">
      <c r="A8" s="20" t="n">
        <v>7</v>
      </c>
      <c r="B8" s="23" t="s">
        <v>274</v>
      </c>
      <c r="C8" s="20" t="s">
        <v>302</v>
      </c>
      <c r="D8" s="20" t="s">
        <v>303</v>
      </c>
      <c r="E8" s="20" t="s">
        <v>304</v>
      </c>
      <c r="F8" s="20" t="s">
        <v>111</v>
      </c>
      <c r="G8" s="24" t="s">
        <v>21</v>
      </c>
      <c r="H8" s="20"/>
      <c r="I8" s="20" t="s">
        <v>288</v>
      </c>
      <c r="J8" s="20" t="n">
        <f aca="false">IF($I8="Yes",IFERROR(INDEX('Buy List'!$A$2:$A$91,MATCH($F8,'Buy List'!$C$2:$C$91,0)),"-"),"-")</f>
        <v>19</v>
      </c>
      <c r="K8" s="24" t="s">
        <v>28</v>
      </c>
      <c r="L8" s="20" t="s">
        <v>305</v>
      </c>
    </row>
    <row r="9" customFormat="false" ht="26.85" hidden="false" customHeight="false" outlineLevel="0" collapsed="false">
      <c r="A9" s="20" t="n">
        <v>8</v>
      </c>
      <c r="B9" s="23" t="s">
        <v>274</v>
      </c>
      <c r="C9" s="20" t="s">
        <v>306</v>
      </c>
      <c r="D9" s="20" t="s">
        <v>307</v>
      </c>
      <c r="E9" s="20" t="s">
        <v>308</v>
      </c>
      <c r="F9" s="20" t="s">
        <v>93</v>
      </c>
      <c r="G9" s="24" t="s">
        <v>21</v>
      </c>
      <c r="H9" s="20"/>
      <c r="I9" s="20" t="s">
        <v>288</v>
      </c>
      <c r="J9" s="20" t="n">
        <f aca="false">IF($I9="Yes",IFERROR(INDEX('Buy List'!$A$2:$A$91,MATCH($F9,'Buy List'!$C$2:$C$91,0)),"-"),"-")</f>
        <v>13</v>
      </c>
      <c r="K9" s="24" t="s">
        <v>28</v>
      </c>
      <c r="L9" s="20" t="s">
        <v>309</v>
      </c>
    </row>
    <row r="10" customFormat="false" ht="26.85" hidden="false" customHeight="false" outlineLevel="0" collapsed="false">
      <c r="A10" s="20" t="n">
        <v>9</v>
      </c>
      <c r="B10" s="23" t="s">
        <v>274</v>
      </c>
      <c r="C10" s="20" t="s">
        <v>310</v>
      </c>
      <c r="D10" s="20" t="s">
        <v>311</v>
      </c>
      <c r="E10" s="20" t="s">
        <v>312</v>
      </c>
      <c r="F10" s="20" t="s">
        <v>116</v>
      </c>
      <c r="G10" s="24" t="s">
        <v>21</v>
      </c>
      <c r="H10" s="20"/>
      <c r="I10" s="20" t="s">
        <v>288</v>
      </c>
      <c r="J10" s="20" t="n">
        <f aca="false">IF($I10="Yes",IFERROR(INDEX('Buy List'!$A$2:$A$91,MATCH($F10,'Buy List'!$C$2:$C$91,0)),"-"),"-")</f>
        <v>21</v>
      </c>
      <c r="K10" s="24" t="s">
        <v>28</v>
      </c>
      <c r="L10" s="20" t="s">
        <v>309</v>
      </c>
    </row>
    <row r="11" customFormat="false" ht="26.85" hidden="false" customHeight="false" outlineLevel="0" collapsed="false">
      <c r="A11" s="20" t="n">
        <v>10</v>
      </c>
      <c r="B11" s="23" t="s">
        <v>274</v>
      </c>
      <c r="C11" s="20" t="s">
        <v>313</v>
      </c>
      <c r="D11" s="20" t="s">
        <v>314</v>
      </c>
      <c r="E11" s="20" t="s">
        <v>315</v>
      </c>
      <c r="F11" s="20" t="s">
        <v>60</v>
      </c>
      <c r="G11" s="24" t="s">
        <v>21</v>
      </c>
      <c r="H11" s="20"/>
      <c r="I11" s="20" t="s">
        <v>288</v>
      </c>
      <c r="J11" s="20" t="n">
        <f aca="false">IF($I11="Yes",IFERROR(INDEX('Buy List'!$A$2:$A$91,MATCH($F11,'Buy List'!$C$2:$C$91,0)),"-"),"-")</f>
        <v>2</v>
      </c>
      <c r="K11" s="26" t="s">
        <v>29</v>
      </c>
      <c r="L11" s="20" t="s">
        <v>316</v>
      </c>
    </row>
    <row r="12" customFormat="false" ht="26.85" hidden="false" customHeight="false" outlineLevel="0" collapsed="false">
      <c r="A12" s="20" t="n">
        <v>11</v>
      </c>
      <c r="B12" s="23" t="s">
        <v>274</v>
      </c>
      <c r="C12" s="20" t="s">
        <v>317</v>
      </c>
      <c r="D12" s="20" t="s">
        <v>318</v>
      </c>
      <c r="E12" s="20" t="s">
        <v>319</v>
      </c>
      <c r="F12" s="20" t="s">
        <v>114</v>
      </c>
      <c r="G12" s="24" t="s">
        <v>21</v>
      </c>
      <c r="H12" s="20"/>
      <c r="I12" s="20" t="s">
        <v>288</v>
      </c>
      <c r="J12" s="20" t="n">
        <f aca="false">IF($I12="Yes",IFERROR(INDEX('Buy List'!$A$2:$A$91,MATCH($F12,'Buy List'!$C$2:$C$91,0)),"-"),"-")</f>
        <v>20</v>
      </c>
      <c r="K12" s="26" t="s">
        <v>29</v>
      </c>
      <c r="L12" s="20" t="s">
        <v>320</v>
      </c>
    </row>
    <row r="13" customFormat="false" ht="26.85" hidden="false" customHeight="false" outlineLevel="0" collapsed="false">
      <c r="A13" s="20" t="n">
        <v>12</v>
      </c>
      <c r="B13" s="23" t="s">
        <v>274</v>
      </c>
      <c r="C13" s="20" t="s">
        <v>321</v>
      </c>
      <c r="D13" s="20" t="s">
        <v>322</v>
      </c>
      <c r="E13" s="20" t="s">
        <v>323</v>
      </c>
      <c r="F13" s="20" t="s">
        <v>63</v>
      </c>
      <c r="G13" s="24" t="s">
        <v>21</v>
      </c>
      <c r="H13" s="20" t="s">
        <v>324</v>
      </c>
      <c r="I13" s="20" t="s">
        <v>288</v>
      </c>
      <c r="J13" s="20" t="n">
        <f aca="false">IF($I13="Yes",IFERROR(INDEX('Buy List'!$A$2:$A$91,MATCH($F13,'Buy List'!$C$2:$C$91,0)),"-"),"-")</f>
        <v>3</v>
      </c>
      <c r="K13" s="19" t="s">
        <v>30</v>
      </c>
      <c r="L13" s="20" t="s">
        <v>325</v>
      </c>
    </row>
    <row r="14" customFormat="false" ht="26.85" hidden="false" customHeight="false" outlineLevel="0" collapsed="false">
      <c r="A14" s="20" t="n">
        <v>13</v>
      </c>
      <c r="B14" s="23" t="s">
        <v>326</v>
      </c>
      <c r="C14" s="20" t="s">
        <v>327</v>
      </c>
      <c r="D14" s="20" t="s">
        <v>276</v>
      </c>
      <c r="E14" s="20" t="s">
        <v>328</v>
      </c>
      <c r="F14" s="20" t="s">
        <v>126</v>
      </c>
      <c r="G14" s="25" t="s">
        <v>22</v>
      </c>
      <c r="H14" s="20" t="s">
        <v>329</v>
      </c>
      <c r="I14" s="20" t="s">
        <v>288</v>
      </c>
      <c r="J14" s="20" t="n">
        <f aca="false">IF($I14="Yes",IFERROR(INDEX('Buy List'!$A$2:$A$91,MATCH($F14,'Buy List'!$C$2:$C$91,0)),"-"),"-")</f>
        <v>25</v>
      </c>
      <c r="K14" s="24" t="s">
        <v>28</v>
      </c>
      <c r="L14" s="20" t="s">
        <v>330</v>
      </c>
    </row>
    <row r="15" customFormat="false" ht="26.85" hidden="false" customHeight="false" outlineLevel="0" collapsed="false">
      <c r="A15" s="20" t="n">
        <v>14</v>
      </c>
      <c r="B15" s="23" t="s">
        <v>326</v>
      </c>
      <c r="C15" s="20" t="s">
        <v>331</v>
      </c>
      <c r="D15" s="20" t="s">
        <v>282</v>
      </c>
      <c r="E15" s="20" t="s">
        <v>332</v>
      </c>
      <c r="F15" s="20" t="s">
        <v>93</v>
      </c>
      <c r="G15" s="25" t="s">
        <v>22</v>
      </c>
      <c r="H15" s="20" t="s">
        <v>329</v>
      </c>
      <c r="I15" s="20" t="s">
        <v>288</v>
      </c>
      <c r="J15" s="20" t="n">
        <f aca="false">IF($I15="Yes",IFERROR(INDEX('Buy List'!$A$2:$A$91,MATCH($F15,'Buy List'!$C$2:$C$91,0)),"-"),"-")</f>
        <v>13</v>
      </c>
      <c r="K15" s="24" t="s">
        <v>28</v>
      </c>
      <c r="L15" s="20" t="s">
        <v>333</v>
      </c>
    </row>
    <row r="16" customFormat="false" ht="26.85" hidden="false" customHeight="false" outlineLevel="0" collapsed="false">
      <c r="A16" s="20" t="n">
        <v>15</v>
      </c>
      <c r="B16" s="23" t="s">
        <v>326</v>
      </c>
      <c r="C16" s="20" t="s">
        <v>334</v>
      </c>
      <c r="D16" s="20" t="s">
        <v>286</v>
      </c>
      <c r="E16" s="20" t="s">
        <v>335</v>
      </c>
      <c r="F16" s="20" t="s">
        <v>128</v>
      </c>
      <c r="G16" s="25" t="s">
        <v>22</v>
      </c>
      <c r="H16" s="20" t="s">
        <v>329</v>
      </c>
      <c r="I16" s="20" t="s">
        <v>288</v>
      </c>
      <c r="J16" s="20" t="n">
        <f aca="false">IF($I16="Yes",IFERROR(INDEX('Buy List'!$A$2:$A$91,MATCH($F16,'Buy List'!$C$2:$C$91,0)),"-"),"-")</f>
        <v>26</v>
      </c>
      <c r="K16" s="26" t="s">
        <v>29</v>
      </c>
      <c r="L16" s="20" t="s">
        <v>336</v>
      </c>
    </row>
    <row r="17" customFormat="false" ht="26.85" hidden="false" customHeight="false" outlineLevel="0" collapsed="false">
      <c r="A17" s="20" t="n">
        <v>16</v>
      </c>
      <c r="B17" s="23" t="s">
        <v>326</v>
      </c>
      <c r="C17" s="20" t="s">
        <v>337</v>
      </c>
      <c r="D17" s="20" t="s">
        <v>291</v>
      </c>
      <c r="E17" s="20" t="s">
        <v>338</v>
      </c>
      <c r="F17" s="20" t="s">
        <v>69</v>
      </c>
      <c r="G17" s="25" t="s">
        <v>22</v>
      </c>
      <c r="H17" s="20" t="s">
        <v>329</v>
      </c>
      <c r="I17" s="20" t="s">
        <v>288</v>
      </c>
      <c r="J17" s="20" t="n">
        <f aca="false">IF($I17="Yes",IFERROR(INDEX('Buy List'!$A$2:$A$91,MATCH($F17,'Buy List'!$C$2:$C$91,0)),"-"),"-")</f>
        <v>5</v>
      </c>
      <c r="K17" s="24" t="s">
        <v>28</v>
      </c>
      <c r="L17" s="20" t="s">
        <v>333</v>
      </c>
    </row>
    <row r="18" customFormat="false" ht="26.85" hidden="false" customHeight="false" outlineLevel="0" collapsed="false">
      <c r="A18" s="20" t="n">
        <v>17</v>
      </c>
      <c r="B18" s="23" t="s">
        <v>326</v>
      </c>
      <c r="C18" s="20" t="s">
        <v>339</v>
      </c>
      <c r="D18" s="20" t="s">
        <v>295</v>
      </c>
      <c r="E18" s="20" t="s">
        <v>340</v>
      </c>
      <c r="F18" s="20" t="s">
        <v>109</v>
      </c>
      <c r="G18" s="25" t="s">
        <v>22</v>
      </c>
      <c r="H18" s="20" t="s">
        <v>329</v>
      </c>
      <c r="I18" s="20" t="s">
        <v>288</v>
      </c>
      <c r="J18" s="20" t="n">
        <f aca="false">IF($I18="Yes",IFERROR(INDEX('Buy List'!$A$2:$A$91,MATCH($F18,'Buy List'!$C$2:$C$91,0)),"-"),"-")</f>
        <v>18</v>
      </c>
      <c r="K18" s="26" t="s">
        <v>29</v>
      </c>
      <c r="L18" s="20" t="s">
        <v>341</v>
      </c>
    </row>
    <row r="19" customFormat="false" ht="26.85" hidden="false" customHeight="false" outlineLevel="0" collapsed="false">
      <c r="A19" s="20" t="n">
        <v>18</v>
      </c>
      <c r="B19" s="23" t="s">
        <v>326</v>
      </c>
      <c r="C19" s="20" t="s">
        <v>342</v>
      </c>
      <c r="D19" s="20" t="s">
        <v>299</v>
      </c>
      <c r="E19" s="20" t="s">
        <v>343</v>
      </c>
      <c r="F19" s="20" t="s">
        <v>123</v>
      </c>
      <c r="G19" s="25" t="s">
        <v>22</v>
      </c>
      <c r="H19" s="20" t="s">
        <v>329</v>
      </c>
      <c r="I19" s="20" t="s">
        <v>288</v>
      </c>
      <c r="J19" s="20" t="n">
        <f aca="false">IF($I19="Yes",IFERROR(INDEX('Buy List'!$A$2:$A$91,MATCH($F19,'Buy List'!$C$2:$C$91,0)),"-"),"-")</f>
        <v>24</v>
      </c>
      <c r="K19" s="24" t="s">
        <v>28</v>
      </c>
      <c r="L19" s="20" t="s">
        <v>333</v>
      </c>
    </row>
    <row r="20" customFormat="false" ht="26.85" hidden="false" customHeight="false" outlineLevel="0" collapsed="false">
      <c r="A20" s="20" t="n">
        <v>19</v>
      </c>
      <c r="B20" s="23" t="s">
        <v>326</v>
      </c>
      <c r="C20" s="20" t="s">
        <v>344</v>
      </c>
      <c r="D20" s="20" t="s">
        <v>303</v>
      </c>
      <c r="E20" s="20" t="s">
        <v>345</v>
      </c>
      <c r="F20" s="20" t="s">
        <v>106</v>
      </c>
      <c r="G20" s="25" t="s">
        <v>22</v>
      </c>
      <c r="H20" s="20" t="s">
        <v>329</v>
      </c>
      <c r="I20" s="20" t="s">
        <v>288</v>
      </c>
      <c r="J20" s="20" t="n">
        <f aca="false">IF($I20="Yes",IFERROR(INDEX('Buy List'!$A$2:$A$91,MATCH($F20,'Buy List'!$C$2:$C$91,0)),"-"),"-")</f>
        <v>17</v>
      </c>
      <c r="K20" s="26" t="s">
        <v>29</v>
      </c>
      <c r="L20" s="20" t="s">
        <v>346</v>
      </c>
    </row>
    <row r="21" customFormat="false" ht="26.85" hidden="false" customHeight="false" outlineLevel="0" collapsed="false">
      <c r="A21" s="20" t="n">
        <v>20</v>
      </c>
      <c r="B21" s="23" t="s">
        <v>326</v>
      </c>
      <c r="C21" s="20" t="s">
        <v>347</v>
      </c>
      <c r="D21" s="20" t="s">
        <v>307</v>
      </c>
      <c r="E21" s="20" t="s">
        <v>348</v>
      </c>
      <c r="F21" s="20" t="s">
        <v>118</v>
      </c>
      <c r="G21" s="25" t="s">
        <v>22</v>
      </c>
      <c r="H21" s="20" t="s">
        <v>329</v>
      </c>
      <c r="I21" s="20" t="s">
        <v>288</v>
      </c>
      <c r="J21" s="20" t="n">
        <f aca="false">IF($I21="Yes",IFERROR(INDEX('Buy List'!$A$2:$A$91,MATCH($F21,'Buy List'!$C$2:$C$91,0)),"-"),"-")</f>
        <v>22</v>
      </c>
      <c r="K21" s="24" t="s">
        <v>28</v>
      </c>
      <c r="L21" s="20" t="s">
        <v>349</v>
      </c>
    </row>
    <row r="22" customFormat="false" ht="26.85" hidden="false" customHeight="false" outlineLevel="0" collapsed="false">
      <c r="A22" s="20" t="n">
        <v>21</v>
      </c>
      <c r="B22" s="23" t="s">
        <v>326</v>
      </c>
      <c r="C22" s="20" t="s">
        <v>350</v>
      </c>
      <c r="D22" s="20" t="s">
        <v>311</v>
      </c>
      <c r="E22" s="20" t="s">
        <v>351</v>
      </c>
      <c r="F22" s="20" t="s">
        <v>65</v>
      </c>
      <c r="G22" s="24" t="s">
        <v>21</v>
      </c>
      <c r="H22" s="20" t="s">
        <v>352</v>
      </c>
      <c r="I22" s="20" t="s">
        <v>288</v>
      </c>
      <c r="J22" s="20" t="n">
        <f aca="false">IF($I22="Yes",IFERROR(INDEX('Buy List'!$A$2:$A$91,MATCH($F22,'Buy List'!$C$2:$C$91,0)),"-"),"-")</f>
        <v>4</v>
      </c>
      <c r="K22" s="19" t="s">
        <v>30</v>
      </c>
      <c r="L22" s="20" t="s">
        <v>353</v>
      </c>
    </row>
    <row r="23" customFormat="false" ht="26.85" hidden="false" customHeight="false" outlineLevel="0" collapsed="false">
      <c r="A23" s="20" t="n">
        <v>22</v>
      </c>
      <c r="B23" s="23" t="s">
        <v>326</v>
      </c>
      <c r="C23" s="20" t="s">
        <v>354</v>
      </c>
      <c r="D23" s="20" t="s">
        <v>355</v>
      </c>
      <c r="E23" s="20" t="s">
        <v>356</v>
      </c>
      <c r="F23" s="20" t="s">
        <v>121</v>
      </c>
      <c r="G23" s="26" t="s">
        <v>23</v>
      </c>
      <c r="H23" s="20" t="s">
        <v>357</v>
      </c>
      <c r="I23" s="20" t="s">
        <v>288</v>
      </c>
      <c r="J23" s="20" t="n">
        <f aca="false">IF($I23="Yes",IFERROR(INDEX('Buy List'!$A$2:$A$91,MATCH($F23,'Buy List'!$C$2:$C$91,0)),"-"),"-")</f>
        <v>23</v>
      </c>
      <c r="K23" s="29" t="s">
        <v>358</v>
      </c>
      <c r="L23" s="20" t="s">
        <v>359</v>
      </c>
    </row>
    <row r="24" customFormat="false" ht="26.85" hidden="false" customHeight="false" outlineLevel="0" collapsed="false">
      <c r="A24" s="20" t="n">
        <v>23</v>
      </c>
      <c r="B24" s="23" t="s">
        <v>360</v>
      </c>
      <c r="C24" s="20" t="s">
        <v>361</v>
      </c>
      <c r="D24" s="20" t="s">
        <v>276</v>
      </c>
      <c r="E24" s="20" t="s">
        <v>362</v>
      </c>
      <c r="F24" s="20" t="s">
        <v>69</v>
      </c>
      <c r="G24" s="24" t="s">
        <v>21</v>
      </c>
      <c r="H24" s="20"/>
      <c r="I24" s="20" t="s">
        <v>288</v>
      </c>
      <c r="J24" s="20" t="n">
        <f aca="false">IF($I24="Yes",IFERROR(INDEX('Buy List'!$A$2:$A$91,MATCH($F24,'Buy List'!$C$2:$C$91,0)),"-"),"-")</f>
        <v>5</v>
      </c>
      <c r="K24" s="19" t="s">
        <v>30</v>
      </c>
      <c r="L24" s="20" t="s">
        <v>363</v>
      </c>
    </row>
    <row r="25" customFormat="false" ht="26.85" hidden="false" customHeight="false" outlineLevel="0" collapsed="false">
      <c r="A25" s="20" t="n">
        <v>24</v>
      </c>
      <c r="B25" s="23" t="s">
        <v>360</v>
      </c>
      <c r="C25" s="20" t="s">
        <v>364</v>
      </c>
      <c r="D25" s="20" t="s">
        <v>282</v>
      </c>
      <c r="E25" s="20" t="s">
        <v>365</v>
      </c>
      <c r="F25" s="20" t="s">
        <v>109</v>
      </c>
      <c r="G25" s="25" t="s">
        <v>22</v>
      </c>
      <c r="H25" s="20" t="s">
        <v>329</v>
      </c>
      <c r="I25" s="20" t="s">
        <v>288</v>
      </c>
      <c r="J25" s="20" t="n">
        <f aca="false">IF($I25="Yes",IFERROR(INDEX('Buy List'!$A$2:$A$91,MATCH($F25,'Buy List'!$C$2:$C$91,0)),"-"),"-")</f>
        <v>18</v>
      </c>
      <c r="K25" s="24" t="s">
        <v>28</v>
      </c>
      <c r="L25" s="20" t="s">
        <v>366</v>
      </c>
    </row>
    <row r="26" customFormat="false" ht="26.85" hidden="false" customHeight="false" outlineLevel="0" collapsed="false">
      <c r="A26" s="20" t="n">
        <v>25</v>
      </c>
      <c r="B26" s="23" t="s">
        <v>360</v>
      </c>
      <c r="C26" s="20" t="s">
        <v>367</v>
      </c>
      <c r="D26" s="20" t="s">
        <v>286</v>
      </c>
      <c r="E26" s="20" t="s">
        <v>368</v>
      </c>
      <c r="F26" s="20" t="s">
        <v>188</v>
      </c>
      <c r="G26" s="25" t="s">
        <v>22</v>
      </c>
      <c r="H26" s="20" t="s">
        <v>329</v>
      </c>
      <c r="I26" s="20" t="s">
        <v>288</v>
      </c>
      <c r="J26" s="20" t="n">
        <f aca="false">IF($I26="Yes",IFERROR(INDEX('Buy List'!$A$2:$A$91,MATCH($F26,'Buy List'!$C$2:$C$91,0)),"-"),"-")</f>
        <v>54</v>
      </c>
      <c r="K26" s="24" t="s">
        <v>28</v>
      </c>
      <c r="L26" s="20" t="s">
        <v>369</v>
      </c>
    </row>
    <row r="27" customFormat="false" ht="26.85" hidden="false" customHeight="false" outlineLevel="0" collapsed="false">
      <c r="A27" s="20" t="n">
        <v>26</v>
      </c>
      <c r="B27" s="23" t="s">
        <v>360</v>
      </c>
      <c r="C27" s="20" t="s">
        <v>370</v>
      </c>
      <c r="D27" s="20" t="s">
        <v>291</v>
      </c>
      <c r="E27" s="20" t="s">
        <v>371</v>
      </c>
      <c r="F27" s="20" t="s">
        <v>93</v>
      </c>
      <c r="G27" s="25" t="s">
        <v>22</v>
      </c>
      <c r="H27" s="20" t="s">
        <v>329</v>
      </c>
      <c r="I27" s="20" t="s">
        <v>288</v>
      </c>
      <c r="J27" s="20" t="n">
        <f aca="false">IF($I27="Yes",IFERROR(INDEX('Buy List'!$A$2:$A$91,MATCH($F27,'Buy List'!$C$2:$C$91,0)),"-"),"-")</f>
        <v>13</v>
      </c>
      <c r="K27" s="26" t="s">
        <v>29</v>
      </c>
      <c r="L27" s="20" t="s">
        <v>372</v>
      </c>
    </row>
    <row r="28" customFormat="false" ht="26.85" hidden="false" customHeight="false" outlineLevel="0" collapsed="false">
      <c r="A28" s="20" t="n">
        <v>27</v>
      </c>
      <c r="B28" s="23" t="s">
        <v>360</v>
      </c>
      <c r="C28" s="20" t="s">
        <v>373</v>
      </c>
      <c r="D28" s="20" t="s">
        <v>295</v>
      </c>
      <c r="E28" s="20" t="s">
        <v>374</v>
      </c>
      <c r="F28" s="20" t="s">
        <v>65</v>
      </c>
      <c r="G28" s="25" t="s">
        <v>22</v>
      </c>
      <c r="H28" s="20" t="s">
        <v>329</v>
      </c>
      <c r="I28" s="20" t="s">
        <v>288</v>
      </c>
      <c r="J28" s="20" t="n">
        <f aca="false">IF($I28="Yes",IFERROR(INDEX('Buy List'!$A$2:$A$91,MATCH($F28,'Buy List'!$C$2:$C$91,0)),"-"),"-")</f>
        <v>4</v>
      </c>
      <c r="K28" s="24" t="s">
        <v>28</v>
      </c>
      <c r="L28" s="20" t="s">
        <v>375</v>
      </c>
    </row>
    <row r="29" customFormat="false" ht="26.85" hidden="false" customHeight="false" outlineLevel="0" collapsed="false">
      <c r="A29" s="20" t="n">
        <v>28</v>
      </c>
      <c r="B29" s="23" t="s">
        <v>360</v>
      </c>
      <c r="C29" s="20" t="s">
        <v>376</v>
      </c>
      <c r="D29" s="20" t="s">
        <v>299</v>
      </c>
      <c r="E29" s="20" t="s">
        <v>377</v>
      </c>
      <c r="F29" s="20" t="s">
        <v>193</v>
      </c>
      <c r="G29" s="25" t="s">
        <v>22</v>
      </c>
      <c r="H29" s="20" t="s">
        <v>329</v>
      </c>
      <c r="I29" s="20" t="s">
        <v>288</v>
      </c>
      <c r="J29" s="20" t="n">
        <f aca="false">IF($I29="Yes",IFERROR(INDEX('Buy List'!$A$2:$A$91,MATCH($F29,'Buy List'!$C$2:$C$91,0)),"-"),"-")</f>
        <v>56</v>
      </c>
      <c r="K29" s="24" t="s">
        <v>28</v>
      </c>
      <c r="L29" s="20" t="s">
        <v>378</v>
      </c>
    </row>
    <row r="30" customFormat="false" ht="26.85" hidden="false" customHeight="false" outlineLevel="0" collapsed="false">
      <c r="A30" s="20" t="n">
        <v>29</v>
      </c>
      <c r="B30" s="23" t="s">
        <v>360</v>
      </c>
      <c r="C30" s="20" t="s">
        <v>379</v>
      </c>
      <c r="D30" s="20" t="s">
        <v>303</v>
      </c>
      <c r="E30" s="20" t="s">
        <v>380</v>
      </c>
      <c r="F30" s="20" t="s">
        <v>195</v>
      </c>
      <c r="G30" s="25" t="s">
        <v>22</v>
      </c>
      <c r="H30" s="20" t="s">
        <v>329</v>
      </c>
      <c r="I30" s="20" t="s">
        <v>288</v>
      </c>
      <c r="J30" s="20" t="n">
        <f aca="false">IF($I30="Yes",IFERROR(INDEX('Buy List'!$A$2:$A$91,MATCH($F30,'Buy List'!$C$2:$C$91,0)),"-"),"-")</f>
        <v>57</v>
      </c>
      <c r="K30" s="24" t="s">
        <v>28</v>
      </c>
      <c r="L30" s="20" t="s">
        <v>378</v>
      </c>
    </row>
    <row r="31" customFormat="false" ht="26.85" hidden="false" customHeight="false" outlineLevel="0" collapsed="false">
      <c r="A31" s="20" t="n">
        <v>30</v>
      </c>
      <c r="B31" s="23" t="s">
        <v>360</v>
      </c>
      <c r="C31" s="20" t="s">
        <v>381</v>
      </c>
      <c r="D31" s="20" t="s">
        <v>307</v>
      </c>
      <c r="E31" s="20" t="s">
        <v>382</v>
      </c>
      <c r="F31" s="20" t="s">
        <v>191</v>
      </c>
      <c r="G31" s="25" t="s">
        <v>22</v>
      </c>
      <c r="H31" s="20" t="s">
        <v>329</v>
      </c>
      <c r="I31" s="20" t="s">
        <v>288</v>
      </c>
      <c r="J31" s="20" t="n">
        <f aca="false">IF($I31="Yes",IFERROR(INDEX('Buy List'!$A$2:$A$91,MATCH($F31,'Buy List'!$C$2:$C$91,0)),"-"),"-")</f>
        <v>55</v>
      </c>
      <c r="K31" s="24" t="s">
        <v>28</v>
      </c>
      <c r="L31" s="20" t="s">
        <v>378</v>
      </c>
    </row>
    <row r="32" customFormat="false" ht="26.85" hidden="false" customHeight="false" outlineLevel="0" collapsed="false">
      <c r="A32" s="20" t="n">
        <v>31</v>
      </c>
      <c r="B32" s="23" t="s">
        <v>360</v>
      </c>
      <c r="C32" s="20" t="s">
        <v>383</v>
      </c>
      <c r="D32" s="20" t="s">
        <v>311</v>
      </c>
      <c r="E32" s="20" t="s">
        <v>384</v>
      </c>
      <c r="F32" s="20" t="s">
        <v>199</v>
      </c>
      <c r="G32" s="25" t="s">
        <v>22</v>
      </c>
      <c r="H32" s="20" t="s">
        <v>329</v>
      </c>
      <c r="I32" s="20" t="s">
        <v>288</v>
      </c>
      <c r="J32" s="20" t="n">
        <f aca="false">IF($I32="Yes",IFERROR(INDEX('Buy List'!$A$2:$A$91,MATCH($F32,'Buy List'!$C$2:$C$91,0)),"-"),"-")</f>
        <v>59</v>
      </c>
      <c r="K32" s="24" t="s">
        <v>28</v>
      </c>
      <c r="L32" s="20" t="s">
        <v>378</v>
      </c>
    </row>
    <row r="33" customFormat="false" ht="26.85" hidden="false" customHeight="false" outlineLevel="0" collapsed="false">
      <c r="A33" s="20" t="n">
        <v>32</v>
      </c>
      <c r="B33" s="23" t="s">
        <v>360</v>
      </c>
      <c r="C33" s="20" t="s">
        <v>385</v>
      </c>
      <c r="D33" s="20" t="s">
        <v>314</v>
      </c>
      <c r="E33" s="20" t="s">
        <v>386</v>
      </c>
      <c r="F33" s="20" t="s">
        <v>197</v>
      </c>
      <c r="G33" s="25" t="s">
        <v>22</v>
      </c>
      <c r="H33" s="20" t="s">
        <v>329</v>
      </c>
      <c r="I33" s="20" t="s">
        <v>288</v>
      </c>
      <c r="J33" s="20" t="n">
        <f aca="false">IF($I33="Yes",IFERROR(INDEX('Buy List'!$A$2:$A$91,MATCH($F33,'Buy List'!$C$2:$C$91,0)),"-"),"-")</f>
        <v>58</v>
      </c>
      <c r="K33" s="24" t="s">
        <v>28</v>
      </c>
      <c r="L33" s="20" t="s">
        <v>378</v>
      </c>
    </row>
    <row r="34" customFormat="false" ht="26.85" hidden="false" customHeight="false" outlineLevel="0" collapsed="false">
      <c r="A34" s="20" t="n">
        <v>33</v>
      </c>
      <c r="B34" s="23" t="s">
        <v>387</v>
      </c>
      <c r="C34" s="20" t="s">
        <v>388</v>
      </c>
      <c r="D34" s="20" t="s">
        <v>276</v>
      </c>
      <c r="E34" s="20" t="s">
        <v>389</v>
      </c>
      <c r="F34" s="20" t="s">
        <v>183</v>
      </c>
      <c r="G34" s="25" t="s">
        <v>22</v>
      </c>
      <c r="H34" s="20" t="s">
        <v>329</v>
      </c>
      <c r="I34" s="20" t="s">
        <v>288</v>
      </c>
      <c r="J34" s="20" t="n">
        <f aca="false">IF($I34="Yes",IFERROR(INDEX('Buy List'!$A$2:$A$91,MATCH($F34,'Buy List'!$C$2:$C$91,0)),"-"),"-")</f>
        <v>52</v>
      </c>
      <c r="K34" s="26" t="s">
        <v>29</v>
      </c>
      <c r="L34" s="20" t="s">
        <v>390</v>
      </c>
    </row>
    <row r="35" customFormat="false" ht="26.85" hidden="false" customHeight="false" outlineLevel="0" collapsed="false">
      <c r="A35" s="20" t="n">
        <v>34</v>
      </c>
      <c r="B35" s="23" t="s">
        <v>387</v>
      </c>
      <c r="C35" s="20" t="s">
        <v>391</v>
      </c>
      <c r="D35" s="20" t="s">
        <v>282</v>
      </c>
      <c r="E35" s="20" t="s">
        <v>392</v>
      </c>
      <c r="F35" s="20" t="s">
        <v>177</v>
      </c>
      <c r="G35" s="25" t="s">
        <v>22</v>
      </c>
      <c r="H35" s="20" t="s">
        <v>329</v>
      </c>
      <c r="I35" s="20" t="s">
        <v>288</v>
      </c>
      <c r="J35" s="20" t="n">
        <f aca="false">IF($I35="Yes",IFERROR(INDEX('Buy List'!$A$2:$A$91,MATCH($F35,'Buy List'!$C$2:$C$91,0)),"-"),"-")</f>
        <v>49</v>
      </c>
      <c r="K35" s="24" t="s">
        <v>28</v>
      </c>
      <c r="L35" s="20" t="s">
        <v>393</v>
      </c>
    </row>
    <row r="36" customFormat="false" ht="26.85" hidden="false" customHeight="false" outlineLevel="0" collapsed="false">
      <c r="A36" s="20" t="n">
        <v>35</v>
      </c>
      <c r="B36" s="23" t="s">
        <v>387</v>
      </c>
      <c r="C36" s="20" t="s">
        <v>394</v>
      </c>
      <c r="D36" s="20" t="s">
        <v>286</v>
      </c>
      <c r="E36" s="20" t="s">
        <v>395</v>
      </c>
      <c r="F36" s="20" t="s">
        <v>185</v>
      </c>
      <c r="G36" s="25" t="s">
        <v>22</v>
      </c>
      <c r="H36" s="20" t="s">
        <v>329</v>
      </c>
      <c r="I36" s="20" t="s">
        <v>288</v>
      </c>
      <c r="J36" s="20" t="n">
        <f aca="false">IF($I36="Yes",IFERROR(INDEX('Buy List'!$A$2:$A$91,MATCH($F36,'Buy List'!$C$2:$C$91,0)),"-"),"-")</f>
        <v>53</v>
      </c>
      <c r="K36" s="24" t="s">
        <v>28</v>
      </c>
      <c r="L36" s="20" t="s">
        <v>396</v>
      </c>
    </row>
    <row r="37" customFormat="false" ht="26.85" hidden="false" customHeight="false" outlineLevel="0" collapsed="false">
      <c r="A37" s="20" t="n">
        <v>36</v>
      </c>
      <c r="B37" s="23" t="s">
        <v>387</v>
      </c>
      <c r="C37" s="20" t="s">
        <v>397</v>
      </c>
      <c r="D37" s="20" t="s">
        <v>291</v>
      </c>
      <c r="E37" s="20" t="s">
        <v>398</v>
      </c>
      <c r="F37" s="20" t="s">
        <v>173</v>
      </c>
      <c r="G37" s="25" t="s">
        <v>22</v>
      </c>
      <c r="H37" s="20" t="s">
        <v>329</v>
      </c>
      <c r="I37" s="20" t="s">
        <v>288</v>
      </c>
      <c r="J37" s="20" t="n">
        <f aca="false">IF($I37="Yes",IFERROR(INDEX('Buy List'!$A$2:$A$91,MATCH($F37,'Buy List'!$C$2:$C$91,0)),"-"),"-")</f>
        <v>47</v>
      </c>
      <c r="K37" s="24" t="s">
        <v>28</v>
      </c>
      <c r="L37" s="20" t="s">
        <v>399</v>
      </c>
    </row>
    <row r="38" customFormat="false" ht="26.85" hidden="false" customHeight="false" outlineLevel="0" collapsed="false">
      <c r="A38" s="20" t="n">
        <v>37</v>
      </c>
      <c r="B38" s="23" t="s">
        <v>387</v>
      </c>
      <c r="C38" s="20" t="s">
        <v>400</v>
      </c>
      <c r="D38" s="20" t="s">
        <v>295</v>
      </c>
      <c r="E38" s="20" t="s">
        <v>401</v>
      </c>
      <c r="F38" s="20" t="s">
        <v>181</v>
      </c>
      <c r="G38" s="25" t="s">
        <v>22</v>
      </c>
      <c r="H38" s="20" t="s">
        <v>329</v>
      </c>
      <c r="I38" s="20" t="s">
        <v>288</v>
      </c>
      <c r="J38" s="20" t="n">
        <f aca="false">IF($I38="Yes",IFERROR(INDEX('Buy List'!$A$2:$A$91,MATCH($F38,'Buy List'!$C$2:$C$91,0)),"-"),"-")</f>
        <v>51</v>
      </c>
      <c r="K38" s="24" t="s">
        <v>28</v>
      </c>
      <c r="L38" s="20" t="s">
        <v>402</v>
      </c>
    </row>
    <row r="39" customFormat="false" ht="26.85" hidden="false" customHeight="false" outlineLevel="0" collapsed="false">
      <c r="A39" s="20" t="n">
        <v>38</v>
      </c>
      <c r="B39" s="23" t="s">
        <v>387</v>
      </c>
      <c r="C39" s="20" t="s">
        <v>403</v>
      </c>
      <c r="D39" s="20" t="s">
        <v>299</v>
      </c>
      <c r="E39" s="20" t="s">
        <v>404</v>
      </c>
      <c r="F39" s="20" t="s">
        <v>179</v>
      </c>
      <c r="G39" s="25" t="s">
        <v>22</v>
      </c>
      <c r="H39" s="20" t="s">
        <v>329</v>
      </c>
      <c r="I39" s="20" t="s">
        <v>288</v>
      </c>
      <c r="J39" s="20" t="n">
        <f aca="false">IF($I39="Yes",IFERROR(INDEX('Buy List'!$A$2:$A$91,MATCH($F39,'Buy List'!$C$2:$C$91,0)),"-"),"-")</f>
        <v>50</v>
      </c>
      <c r="K39" s="26" t="s">
        <v>29</v>
      </c>
      <c r="L39" s="20" t="s">
        <v>405</v>
      </c>
    </row>
    <row r="40" customFormat="false" ht="26.85" hidden="false" customHeight="false" outlineLevel="0" collapsed="false">
      <c r="A40" s="20" t="n">
        <v>39</v>
      </c>
      <c r="B40" s="23" t="s">
        <v>387</v>
      </c>
      <c r="C40" s="20" t="s">
        <v>406</v>
      </c>
      <c r="D40" s="20" t="s">
        <v>303</v>
      </c>
      <c r="E40" s="20" t="s">
        <v>407</v>
      </c>
      <c r="F40" s="20" t="s">
        <v>63</v>
      </c>
      <c r="G40" s="25" t="s">
        <v>22</v>
      </c>
      <c r="H40" s="20" t="s">
        <v>329</v>
      </c>
      <c r="I40" s="20" t="s">
        <v>288</v>
      </c>
      <c r="J40" s="20" t="n">
        <f aca="false">IF($I40="Yes",IFERROR(INDEX('Buy List'!$A$2:$A$91,MATCH($F40,'Buy List'!$C$2:$C$91,0)),"-"),"-")</f>
        <v>3</v>
      </c>
      <c r="K40" s="24" t="s">
        <v>28</v>
      </c>
      <c r="L40" s="20" t="s">
        <v>402</v>
      </c>
    </row>
    <row r="41" customFormat="false" ht="26.85" hidden="false" customHeight="false" outlineLevel="0" collapsed="false">
      <c r="A41" s="20" t="n">
        <v>40</v>
      </c>
      <c r="B41" s="23" t="s">
        <v>387</v>
      </c>
      <c r="C41" s="20" t="s">
        <v>408</v>
      </c>
      <c r="D41" s="20" t="s">
        <v>307</v>
      </c>
      <c r="E41" s="20" t="s">
        <v>409</v>
      </c>
      <c r="F41" s="20" t="s">
        <v>175</v>
      </c>
      <c r="G41" s="25" t="s">
        <v>22</v>
      </c>
      <c r="H41" s="20" t="s">
        <v>329</v>
      </c>
      <c r="I41" s="20" t="s">
        <v>288</v>
      </c>
      <c r="J41" s="20" t="n">
        <f aca="false">IF($I41="Yes",IFERROR(INDEX('Buy List'!$A$2:$A$91,MATCH($F41,'Buy List'!$C$2:$C$91,0)),"-"),"-")</f>
        <v>48</v>
      </c>
      <c r="K41" s="24" t="s">
        <v>28</v>
      </c>
      <c r="L41" s="20" t="s">
        <v>410</v>
      </c>
    </row>
    <row r="42" customFormat="false" ht="26.85" hidden="false" customHeight="false" outlineLevel="0" collapsed="false">
      <c r="A42" s="20" t="n">
        <v>41</v>
      </c>
      <c r="B42" s="23" t="s">
        <v>387</v>
      </c>
      <c r="C42" s="20" t="s">
        <v>411</v>
      </c>
      <c r="D42" s="20" t="s">
        <v>311</v>
      </c>
      <c r="E42" s="20" t="s">
        <v>412</v>
      </c>
      <c r="F42" s="20" t="s">
        <v>60</v>
      </c>
      <c r="G42" s="24" t="s">
        <v>21</v>
      </c>
      <c r="H42" s="20"/>
      <c r="I42" s="20" t="s">
        <v>288</v>
      </c>
      <c r="J42" s="20" t="n">
        <f aca="false">IF($I42="Yes",IFERROR(INDEX('Buy List'!$A$2:$A$91,MATCH($F42,'Buy List'!$C$2:$C$91,0)),"-"),"-")</f>
        <v>2</v>
      </c>
      <c r="K42" s="19" t="s">
        <v>30</v>
      </c>
      <c r="L42" s="20" t="s">
        <v>413</v>
      </c>
    </row>
    <row r="43" customFormat="false" ht="26.85" hidden="false" customHeight="false" outlineLevel="0" collapsed="false">
      <c r="A43" s="20" t="n">
        <v>42</v>
      </c>
      <c r="B43" s="23" t="s">
        <v>387</v>
      </c>
      <c r="C43" s="20" t="s">
        <v>414</v>
      </c>
      <c r="D43" s="20" t="s">
        <v>314</v>
      </c>
      <c r="E43" s="20" t="s">
        <v>415</v>
      </c>
      <c r="F43" s="20" t="s">
        <v>170</v>
      </c>
      <c r="G43" s="25" t="s">
        <v>22</v>
      </c>
      <c r="H43" s="20" t="s">
        <v>329</v>
      </c>
      <c r="I43" s="20" t="s">
        <v>288</v>
      </c>
      <c r="J43" s="20" t="n">
        <f aca="false">IF($I43="Yes",IFERROR(INDEX('Buy List'!$A$2:$A$91,MATCH($F43,'Buy List'!$C$2:$C$91,0)),"-"),"-")</f>
        <v>46</v>
      </c>
      <c r="K43" s="24" t="s">
        <v>28</v>
      </c>
      <c r="L43" s="20" t="s">
        <v>396</v>
      </c>
    </row>
    <row r="44" customFormat="false" ht="26.85" hidden="false" customHeight="false" outlineLevel="0" collapsed="false">
      <c r="A44" s="20" t="n">
        <v>43</v>
      </c>
      <c r="B44" s="23" t="s">
        <v>416</v>
      </c>
      <c r="C44" s="20" t="s">
        <v>417</v>
      </c>
      <c r="D44" s="20" t="s">
        <v>276</v>
      </c>
      <c r="E44" s="20" t="s">
        <v>418</v>
      </c>
      <c r="F44" s="20" t="s">
        <v>133</v>
      </c>
      <c r="G44" s="25" t="s">
        <v>22</v>
      </c>
      <c r="H44" s="20" t="s">
        <v>329</v>
      </c>
      <c r="I44" s="20" t="s">
        <v>288</v>
      </c>
      <c r="J44" s="20" t="n">
        <f aca="false">IF($I44="Yes",IFERROR(INDEX('Buy List'!$A$2:$A$91,MATCH($F44,'Buy List'!$C$2:$C$91,0)),"-"),"-")</f>
        <v>28</v>
      </c>
      <c r="K44" s="24" t="s">
        <v>28</v>
      </c>
      <c r="L44" s="20" t="s">
        <v>378</v>
      </c>
    </row>
    <row r="45" customFormat="false" ht="26.85" hidden="false" customHeight="false" outlineLevel="0" collapsed="false">
      <c r="A45" s="20" t="n">
        <v>44</v>
      </c>
      <c r="B45" s="23" t="s">
        <v>416</v>
      </c>
      <c r="C45" s="20" t="s">
        <v>419</v>
      </c>
      <c r="D45" s="20" t="s">
        <v>282</v>
      </c>
      <c r="E45" s="20" t="s">
        <v>420</v>
      </c>
      <c r="F45" s="20" t="s">
        <v>143</v>
      </c>
      <c r="G45" s="25" t="s">
        <v>22</v>
      </c>
      <c r="H45" s="20" t="s">
        <v>329</v>
      </c>
      <c r="I45" s="20" t="s">
        <v>288</v>
      </c>
      <c r="J45" s="20" t="n">
        <f aca="false">IF($I45="Yes",IFERROR(INDEX('Buy List'!$A$2:$A$91,MATCH($F45,'Buy List'!$C$2:$C$91,0)),"-"),"-")</f>
        <v>33</v>
      </c>
      <c r="K45" s="24" t="s">
        <v>28</v>
      </c>
      <c r="L45" s="20" t="s">
        <v>378</v>
      </c>
    </row>
    <row r="46" customFormat="false" ht="26.85" hidden="false" customHeight="false" outlineLevel="0" collapsed="false">
      <c r="A46" s="20" t="n">
        <v>45</v>
      </c>
      <c r="B46" s="23" t="s">
        <v>416</v>
      </c>
      <c r="C46" s="20" t="s">
        <v>421</v>
      </c>
      <c r="D46" s="20" t="s">
        <v>286</v>
      </c>
      <c r="E46" s="20" t="s">
        <v>422</v>
      </c>
      <c r="F46" s="20" t="s">
        <v>130</v>
      </c>
      <c r="G46" s="25" t="s">
        <v>22</v>
      </c>
      <c r="H46" s="20" t="s">
        <v>329</v>
      </c>
      <c r="I46" s="20" t="s">
        <v>288</v>
      </c>
      <c r="J46" s="20" t="n">
        <f aca="false">IF($I46="Yes",IFERROR(INDEX('Buy List'!$A$2:$A$91,MATCH($F46,'Buy List'!$C$2:$C$91,0)),"-"),"-")</f>
        <v>27</v>
      </c>
      <c r="K46" s="24" t="s">
        <v>28</v>
      </c>
      <c r="L46" s="20" t="s">
        <v>378</v>
      </c>
    </row>
    <row r="47" customFormat="false" ht="26.85" hidden="false" customHeight="false" outlineLevel="0" collapsed="false">
      <c r="A47" s="20" t="n">
        <v>46</v>
      </c>
      <c r="B47" s="23" t="s">
        <v>416</v>
      </c>
      <c r="C47" s="20" t="s">
        <v>423</v>
      </c>
      <c r="D47" s="20" t="s">
        <v>291</v>
      </c>
      <c r="E47" s="20" t="s">
        <v>424</v>
      </c>
      <c r="F47" s="20" t="s">
        <v>90</v>
      </c>
      <c r="G47" s="25" t="s">
        <v>22</v>
      </c>
      <c r="H47" s="20" t="s">
        <v>329</v>
      </c>
      <c r="I47" s="20" t="s">
        <v>288</v>
      </c>
      <c r="J47" s="20" t="n">
        <f aca="false">IF($I47="Yes",IFERROR(INDEX('Buy List'!$A$2:$A$91,MATCH($F47,'Buy List'!$C$2:$C$91,0)),"-"),"-")</f>
        <v>12</v>
      </c>
      <c r="K47" s="24" t="s">
        <v>28</v>
      </c>
      <c r="L47" s="20" t="s">
        <v>378</v>
      </c>
    </row>
    <row r="48" customFormat="false" ht="26.85" hidden="false" customHeight="false" outlineLevel="0" collapsed="false">
      <c r="A48" s="20" t="n">
        <v>47</v>
      </c>
      <c r="B48" s="23" t="s">
        <v>416</v>
      </c>
      <c r="C48" s="20" t="s">
        <v>425</v>
      </c>
      <c r="D48" s="20" t="s">
        <v>295</v>
      </c>
      <c r="E48" s="20" t="s">
        <v>426</v>
      </c>
      <c r="F48" s="20" t="s">
        <v>135</v>
      </c>
      <c r="G48" s="25" t="s">
        <v>22</v>
      </c>
      <c r="H48" s="20" t="s">
        <v>329</v>
      </c>
      <c r="I48" s="20" t="s">
        <v>288</v>
      </c>
      <c r="J48" s="20" t="n">
        <f aca="false">IF($I48="Yes",IFERROR(INDEX('Buy List'!$A$2:$A$91,MATCH($F48,'Buy List'!$C$2:$C$91,0)),"-"),"-")</f>
        <v>29</v>
      </c>
      <c r="K48" s="24" t="s">
        <v>28</v>
      </c>
      <c r="L48" s="20" t="s">
        <v>378</v>
      </c>
    </row>
    <row r="49" customFormat="false" ht="26.85" hidden="false" customHeight="false" outlineLevel="0" collapsed="false">
      <c r="A49" s="20" t="n">
        <v>48</v>
      </c>
      <c r="B49" s="23" t="s">
        <v>416</v>
      </c>
      <c r="C49" s="20" t="s">
        <v>427</v>
      </c>
      <c r="D49" s="20" t="s">
        <v>299</v>
      </c>
      <c r="E49" s="20" t="s">
        <v>428</v>
      </c>
      <c r="F49" s="20" t="s">
        <v>102</v>
      </c>
      <c r="G49" s="25" t="s">
        <v>22</v>
      </c>
      <c r="H49" s="20" t="s">
        <v>329</v>
      </c>
      <c r="I49" s="20" t="s">
        <v>288</v>
      </c>
      <c r="J49" s="20" t="n">
        <f aca="false">IF($I49="Yes",IFERROR(INDEX('Buy List'!$A$2:$A$91,MATCH($F49,'Buy List'!$C$2:$C$91,0)),"-"),"-")</f>
        <v>16</v>
      </c>
      <c r="K49" s="24" t="s">
        <v>28</v>
      </c>
      <c r="L49" s="20" t="s">
        <v>378</v>
      </c>
    </row>
    <row r="50" customFormat="false" ht="26.85" hidden="false" customHeight="false" outlineLevel="0" collapsed="false">
      <c r="A50" s="20" t="n">
        <v>49</v>
      </c>
      <c r="B50" s="23" t="s">
        <v>416</v>
      </c>
      <c r="C50" s="20" t="s">
        <v>429</v>
      </c>
      <c r="D50" s="20" t="s">
        <v>303</v>
      </c>
      <c r="E50" s="20" t="s">
        <v>430</v>
      </c>
      <c r="F50" s="20" t="s">
        <v>431</v>
      </c>
      <c r="G50" s="28" t="s">
        <v>24</v>
      </c>
      <c r="H50" s="20" t="s">
        <v>432</v>
      </c>
      <c r="I50" s="20" t="s">
        <v>279</v>
      </c>
      <c r="J50" s="20" t="str">
        <f aca="false">IF($I50="Yes",IFERROR(INDEX('Buy List'!$A$2:$A$91,MATCH($F50,'Buy List'!$C$2:$C$91,0)),"-"),"-")</f>
        <v>-</v>
      </c>
      <c r="K50" s="24" t="s">
        <v>28</v>
      </c>
      <c r="L50" s="20" t="s">
        <v>433</v>
      </c>
    </row>
    <row r="51" customFormat="false" ht="26.85" hidden="false" customHeight="false" outlineLevel="0" collapsed="false">
      <c r="A51" s="20" t="n">
        <v>50</v>
      </c>
      <c r="B51" s="23" t="s">
        <v>416</v>
      </c>
      <c r="C51" s="20" t="s">
        <v>434</v>
      </c>
      <c r="D51" s="20" t="s">
        <v>307</v>
      </c>
      <c r="E51" s="20" t="s">
        <v>435</v>
      </c>
      <c r="F51" s="20" t="s">
        <v>139</v>
      </c>
      <c r="G51" s="25" t="s">
        <v>22</v>
      </c>
      <c r="H51" s="20" t="s">
        <v>329</v>
      </c>
      <c r="I51" s="20" t="s">
        <v>288</v>
      </c>
      <c r="J51" s="20" t="n">
        <f aca="false">IF($I51="Yes",IFERROR(INDEX('Buy List'!$A$2:$A$91,MATCH($F51,'Buy List'!$C$2:$C$91,0)),"-"),"-")</f>
        <v>31</v>
      </c>
      <c r="K51" s="26" t="s">
        <v>29</v>
      </c>
      <c r="L51" s="20" t="s">
        <v>436</v>
      </c>
    </row>
    <row r="52" customFormat="false" ht="26.85" hidden="false" customHeight="false" outlineLevel="0" collapsed="false">
      <c r="A52" s="20" t="n">
        <v>51</v>
      </c>
      <c r="B52" s="23" t="s">
        <v>416</v>
      </c>
      <c r="C52" s="20" t="s">
        <v>437</v>
      </c>
      <c r="D52" s="20" t="s">
        <v>311</v>
      </c>
      <c r="E52" s="20" t="s">
        <v>438</v>
      </c>
      <c r="F52" s="20" t="s">
        <v>137</v>
      </c>
      <c r="G52" s="25" t="s">
        <v>22</v>
      </c>
      <c r="H52" s="20" t="s">
        <v>329</v>
      </c>
      <c r="I52" s="20" t="s">
        <v>288</v>
      </c>
      <c r="J52" s="20" t="n">
        <f aca="false">IF($I52="Yes",IFERROR(INDEX('Buy List'!$A$2:$A$91,MATCH($F52,'Buy List'!$C$2:$C$91,0)),"-"),"-")</f>
        <v>30</v>
      </c>
      <c r="K52" s="26" t="s">
        <v>29</v>
      </c>
      <c r="L52" s="20" t="s">
        <v>439</v>
      </c>
    </row>
    <row r="53" customFormat="false" ht="26.85" hidden="false" customHeight="false" outlineLevel="0" collapsed="false">
      <c r="A53" s="20" t="n">
        <v>52</v>
      </c>
      <c r="B53" s="23" t="s">
        <v>416</v>
      </c>
      <c r="C53" s="20" t="s">
        <v>440</v>
      </c>
      <c r="D53" s="20" t="s">
        <v>314</v>
      </c>
      <c r="E53" s="20" t="s">
        <v>441</v>
      </c>
      <c r="F53" s="20" t="s">
        <v>141</v>
      </c>
      <c r="G53" s="25" t="s">
        <v>22</v>
      </c>
      <c r="H53" s="20" t="s">
        <v>329</v>
      </c>
      <c r="I53" s="20" t="s">
        <v>288</v>
      </c>
      <c r="J53" s="20" t="n">
        <f aca="false">IF($I53="Yes",IFERROR(INDEX('Buy List'!$A$2:$A$91,MATCH($F53,'Buy List'!$C$2:$C$91,0)),"-"),"-")</f>
        <v>32</v>
      </c>
      <c r="K53" s="26" t="s">
        <v>29</v>
      </c>
      <c r="L53" s="20" t="s">
        <v>439</v>
      </c>
    </row>
    <row r="54" customFormat="false" ht="26.85" hidden="false" customHeight="false" outlineLevel="0" collapsed="false">
      <c r="A54" s="20" t="n">
        <v>53</v>
      </c>
      <c r="B54" s="23" t="s">
        <v>442</v>
      </c>
      <c r="C54" s="20" t="s">
        <v>443</v>
      </c>
      <c r="D54" s="20" t="s">
        <v>276</v>
      </c>
      <c r="E54" s="20" t="s">
        <v>444</v>
      </c>
      <c r="F54" s="20" t="s">
        <v>168</v>
      </c>
      <c r="G54" s="25" t="s">
        <v>22</v>
      </c>
      <c r="H54" s="20" t="s">
        <v>329</v>
      </c>
      <c r="I54" s="20" t="s">
        <v>288</v>
      </c>
      <c r="J54" s="20" t="n">
        <f aca="false">IF($I54="Yes",IFERROR(INDEX('Buy List'!$A$2:$A$91,MATCH($F54,'Buy List'!$C$2:$C$91,0)),"-"),"-")</f>
        <v>45</v>
      </c>
      <c r="K54" s="26" t="s">
        <v>29</v>
      </c>
      <c r="L54" s="20" t="s">
        <v>445</v>
      </c>
    </row>
    <row r="55" customFormat="false" ht="26.85" hidden="false" customHeight="false" outlineLevel="0" collapsed="false">
      <c r="A55" s="20" t="n">
        <v>54</v>
      </c>
      <c r="B55" s="23" t="s">
        <v>442</v>
      </c>
      <c r="C55" s="20" t="s">
        <v>446</v>
      </c>
      <c r="D55" s="20" t="s">
        <v>282</v>
      </c>
      <c r="E55" s="20" t="s">
        <v>447</v>
      </c>
      <c r="F55" s="20" t="s">
        <v>96</v>
      </c>
      <c r="G55" s="25" t="s">
        <v>22</v>
      </c>
      <c r="H55" s="20" t="s">
        <v>329</v>
      </c>
      <c r="I55" s="20" t="s">
        <v>288</v>
      </c>
      <c r="J55" s="20" t="n">
        <f aca="false">IF($I55="Yes",IFERROR(INDEX('Buy List'!$A$2:$A$91,MATCH($F55,'Buy List'!$C$2:$C$91,0)),"-"),"-")</f>
        <v>14</v>
      </c>
      <c r="K55" s="24" t="s">
        <v>28</v>
      </c>
      <c r="L55" s="20" t="s">
        <v>448</v>
      </c>
    </row>
    <row r="56" customFormat="false" ht="26.85" hidden="false" customHeight="false" outlineLevel="0" collapsed="false">
      <c r="A56" s="20" t="n">
        <v>55</v>
      </c>
      <c r="B56" s="23" t="s">
        <v>442</v>
      </c>
      <c r="C56" s="20" t="s">
        <v>449</v>
      </c>
      <c r="D56" s="20" t="s">
        <v>286</v>
      </c>
      <c r="E56" s="20" t="s">
        <v>450</v>
      </c>
      <c r="F56" s="20" t="s">
        <v>166</v>
      </c>
      <c r="G56" s="25" t="s">
        <v>22</v>
      </c>
      <c r="H56" s="20" t="s">
        <v>329</v>
      </c>
      <c r="I56" s="20" t="s">
        <v>288</v>
      </c>
      <c r="J56" s="20" t="n">
        <f aca="false">IF($I56="Yes",IFERROR(INDEX('Buy List'!$A$2:$A$91,MATCH($F56,'Buy List'!$C$2:$C$91,0)),"-"),"-")</f>
        <v>44</v>
      </c>
      <c r="K56" s="24" t="s">
        <v>28</v>
      </c>
      <c r="L56" s="20" t="s">
        <v>396</v>
      </c>
    </row>
    <row r="57" customFormat="false" ht="26.85" hidden="false" customHeight="false" outlineLevel="0" collapsed="false">
      <c r="A57" s="20" t="n">
        <v>56</v>
      </c>
      <c r="B57" s="23" t="s">
        <v>442</v>
      </c>
      <c r="C57" s="20" t="s">
        <v>451</v>
      </c>
      <c r="D57" s="20" t="s">
        <v>291</v>
      </c>
      <c r="E57" s="20" t="s">
        <v>452</v>
      </c>
      <c r="F57" s="20" t="s">
        <v>162</v>
      </c>
      <c r="G57" s="25" t="s">
        <v>22</v>
      </c>
      <c r="H57" s="20" t="s">
        <v>329</v>
      </c>
      <c r="I57" s="20" t="s">
        <v>288</v>
      </c>
      <c r="J57" s="20" t="n">
        <f aca="false">IF($I57="Yes",IFERROR(INDEX('Buy List'!$A$2:$A$91,MATCH($F57,'Buy List'!$C$2:$C$91,0)),"-"),"-")</f>
        <v>42</v>
      </c>
      <c r="K57" s="24" t="s">
        <v>28</v>
      </c>
      <c r="L57" s="20" t="s">
        <v>396</v>
      </c>
    </row>
    <row r="58" customFormat="false" ht="26.85" hidden="false" customHeight="false" outlineLevel="0" collapsed="false">
      <c r="A58" s="20" t="n">
        <v>57</v>
      </c>
      <c r="B58" s="23" t="s">
        <v>442</v>
      </c>
      <c r="C58" s="20" t="s">
        <v>453</v>
      </c>
      <c r="D58" s="20" t="s">
        <v>295</v>
      </c>
      <c r="E58" s="20" t="s">
        <v>454</v>
      </c>
      <c r="F58" s="20" t="s">
        <v>164</v>
      </c>
      <c r="G58" s="25" t="s">
        <v>22</v>
      </c>
      <c r="H58" s="20" t="s">
        <v>329</v>
      </c>
      <c r="I58" s="20" t="s">
        <v>288</v>
      </c>
      <c r="J58" s="20" t="n">
        <f aca="false">IF($I58="Yes",IFERROR(INDEX('Buy List'!$A$2:$A$91,MATCH($F58,'Buy List'!$C$2:$C$91,0)),"-"),"-")</f>
        <v>43</v>
      </c>
      <c r="K58" s="24" t="s">
        <v>28</v>
      </c>
      <c r="L58" s="20" t="s">
        <v>396</v>
      </c>
    </row>
    <row r="59" customFormat="false" ht="26.85" hidden="false" customHeight="false" outlineLevel="0" collapsed="false">
      <c r="A59" s="20" t="n">
        <v>58</v>
      </c>
      <c r="B59" s="23" t="s">
        <v>442</v>
      </c>
      <c r="C59" s="20" t="s">
        <v>455</v>
      </c>
      <c r="D59" s="20" t="s">
        <v>299</v>
      </c>
      <c r="E59" s="20" t="s">
        <v>456</v>
      </c>
      <c r="F59" s="20" t="s">
        <v>99</v>
      </c>
      <c r="G59" s="25" t="s">
        <v>22</v>
      </c>
      <c r="H59" s="20" t="s">
        <v>329</v>
      </c>
      <c r="I59" s="20" t="s">
        <v>288</v>
      </c>
      <c r="J59" s="20" t="n">
        <f aca="false">IF($I59="Yes",IFERROR(INDEX('Buy List'!$A$2:$A$91,MATCH($F59,'Buy List'!$C$2:$C$91,0)),"-"),"-")</f>
        <v>15</v>
      </c>
      <c r="K59" s="24" t="s">
        <v>28</v>
      </c>
      <c r="L59" s="20" t="s">
        <v>396</v>
      </c>
    </row>
    <row r="60" customFormat="false" ht="26.85" hidden="false" customHeight="false" outlineLevel="0" collapsed="false">
      <c r="A60" s="20" t="n">
        <v>59</v>
      </c>
      <c r="B60" s="23" t="s">
        <v>442</v>
      </c>
      <c r="C60" s="20" t="s">
        <v>457</v>
      </c>
      <c r="D60" s="20" t="s">
        <v>303</v>
      </c>
      <c r="E60" s="20" t="s">
        <v>458</v>
      </c>
      <c r="F60" s="20" t="s">
        <v>155</v>
      </c>
      <c r="G60" s="25" t="s">
        <v>22</v>
      </c>
      <c r="H60" s="20" t="s">
        <v>329</v>
      </c>
      <c r="I60" s="20" t="s">
        <v>288</v>
      </c>
      <c r="J60" s="20" t="n">
        <f aca="false">IF($I60="Yes",IFERROR(INDEX('Buy List'!$A$2:$A$91,MATCH($F60,'Buy List'!$C$2:$C$91,0)),"-"),"-")</f>
        <v>39</v>
      </c>
      <c r="K60" s="24" t="s">
        <v>28</v>
      </c>
      <c r="L60" s="20" t="s">
        <v>396</v>
      </c>
    </row>
    <row r="61" customFormat="false" ht="26.85" hidden="false" customHeight="false" outlineLevel="0" collapsed="false">
      <c r="A61" s="20" t="n">
        <v>60</v>
      </c>
      <c r="B61" s="23" t="s">
        <v>442</v>
      </c>
      <c r="C61" s="20" t="s">
        <v>459</v>
      </c>
      <c r="D61" s="20" t="s">
        <v>307</v>
      </c>
      <c r="E61" s="20" t="s">
        <v>460</v>
      </c>
      <c r="F61" s="20" t="s">
        <v>160</v>
      </c>
      <c r="G61" s="25" t="s">
        <v>22</v>
      </c>
      <c r="H61" s="20" t="s">
        <v>329</v>
      </c>
      <c r="I61" s="20" t="s">
        <v>288</v>
      </c>
      <c r="J61" s="20" t="n">
        <f aca="false">IF($I61="Yes",IFERROR(INDEX('Buy List'!$A$2:$A$91,MATCH($F61,'Buy List'!$C$2:$C$91,0)),"-"),"-")</f>
        <v>41</v>
      </c>
      <c r="K61" s="24" t="s">
        <v>28</v>
      </c>
      <c r="L61" s="20" t="s">
        <v>461</v>
      </c>
    </row>
    <row r="62" customFormat="false" ht="26.85" hidden="false" customHeight="false" outlineLevel="0" collapsed="false">
      <c r="A62" s="20" t="n">
        <v>61</v>
      </c>
      <c r="B62" s="23" t="s">
        <v>442</v>
      </c>
      <c r="C62" s="20" t="s">
        <v>462</v>
      </c>
      <c r="D62" s="20" t="s">
        <v>311</v>
      </c>
      <c r="E62" s="20" t="s">
        <v>463</v>
      </c>
      <c r="F62" s="20" t="s">
        <v>86</v>
      </c>
      <c r="G62" s="25" t="s">
        <v>22</v>
      </c>
      <c r="H62" s="20" t="s">
        <v>329</v>
      </c>
      <c r="I62" s="20" t="s">
        <v>288</v>
      </c>
      <c r="J62" s="20" t="n">
        <f aca="false">IF($I62="Yes",IFERROR(INDEX('Buy List'!$A$2:$A$91,MATCH($F62,'Buy List'!$C$2:$C$91,0)),"-"),"-")</f>
        <v>11</v>
      </c>
      <c r="K62" s="24" t="s">
        <v>28</v>
      </c>
      <c r="L62" s="20" t="s">
        <v>464</v>
      </c>
    </row>
    <row r="63" customFormat="false" ht="26.85" hidden="false" customHeight="false" outlineLevel="0" collapsed="false">
      <c r="A63" s="20" t="n">
        <v>62</v>
      </c>
      <c r="B63" s="23" t="s">
        <v>442</v>
      </c>
      <c r="C63" s="20" t="s">
        <v>465</v>
      </c>
      <c r="D63" s="20" t="s">
        <v>314</v>
      </c>
      <c r="E63" s="20" t="s">
        <v>466</v>
      </c>
      <c r="F63" s="20" t="s">
        <v>158</v>
      </c>
      <c r="G63" s="25" t="s">
        <v>22</v>
      </c>
      <c r="H63" s="20" t="s">
        <v>329</v>
      </c>
      <c r="I63" s="20" t="s">
        <v>288</v>
      </c>
      <c r="J63" s="20" t="n">
        <f aca="false">IF($I63="Yes",IFERROR(INDEX('Buy List'!$A$2:$A$91,MATCH($F63,'Buy List'!$C$2:$C$91,0)),"-"),"-")</f>
        <v>40</v>
      </c>
      <c r="K63" s="26" t="s">
        <v>29</v>
      </c>
      <c r="L63" s="20" t="s">
        <v>467</v>
      </c>
    </row>
    <row r="64" customFormat="false" ht="26.85" hidden="false" customHeight="false" outlineLevel="0" collapsed="false">
      <c r="A64" s="20" t="n">
        <v>63</v>
      </c>
      <c r="B64" s="23" t="s">
        <v>468</v>
      </c>
      <c r="C64" s="20" t="s">
        <v>469</v>
      </c>
      <c r="D64" s="20" t="s">
        <v>276</v>
      </c>
      <c r="E64" s="20" t="s">
        <v>470</v>
      </c>
      <c r="F64" s="20" t="s">
        <v>151</v>
      </c>
      <c r="G64" s="25" t="s">
        <v>22</v>
      </c>
      <c r="H64" s="20" t="s">
        <v>329</v>
      </c>
      <c r="I64" s="20" t="s">
        <v>288</v>
      </c>
      <c r="J64" s="20" t="n">
        <f aca="false">IF($I64="Yes",IFERROR(INDEX('Buy List'!$A$2:$A$91,MATCH($F64,'Buy List'!$C$2:$C$91,0)),"-"),"-")</f>
        <v>37</v>
      </c>
      <c r="K64" s="24" t="s">
        <v>28</v>
      </c>
      <c r="L64" s="20" t="s">
        <v>378</v>
      </c>
    </row>
    <row r="65" customFormat="false" ht="26.85" hidden="false" customHeight="false" outlineLevel="0" collapsed="false">
      <c r="A65" s="20" t="n">
        <v>64</v>
      </c>
      <c r="B65" s="23" t="s">
        <v>468</v>
      </c>
      <c r="C65" s="20" t="s">
        <v>471</v>
      </c>
      <c r="D65" s="20" t="s">
        <v>282</v>
      </c>
      <c r="E65" s="20" t="s">
        <v>472</v>
      </c>
      <c r="F65" s="20" t="s">
        <v>147</v>
      </c>
      <c r="G65" s="25" t="s">
        <v>22</v>
      </c>
      <c r="H65" s="20" t="s">
        <v>329</v>
      </c>
      <c r="I65" s="20" t="s">
        <v>288</v>
      </c>
      <c r="J65" s="20" t="n">
        <f aca="false">IF($I65="Yes",IFERROR(INDEX('Buy List'!$A$2:$A$91,MATCH($F65,'Buy List'!$C$2:$C$91,0)),"-"),"-")</f>
        <v>35</v>
      </c>
      <c r="K65" s="24" t="s">
        <v>28</v>
      </c>
      <c r="L65" s="20" t="s">
        <v>378</v>
      </c>
    </row>
    <row r="66" customFormat="false" ht="26.85" hidden="false" customHeight="false" outlineLevel="0" collapsed="false">
      <c r="A66" s="20" t="n">
        <v>65</v>
      </c>
      <c r="B66" s="23" t="s">
        <v>468</v>
      </c>
      <c r="C66" s="20" t="s">
        <v>473</v>
      </c>
      <c r="D66" s="20" t="s">
        <v>286</v>
      </c>
      <c r="E66" s="20" t="s">
        <v>474</v>
      </c>
      <c r="F66" s="20" t="s">
        <v>149</v>
      </c>
      <c r="G66" s="25" t="s">
        <v>22</v>
      </c>
      <c r="H66" s="20" t="s">
        <v>329</v>
      </c>
      <c r="I66" s="20" t="s">
        <v>288</v>
      </c>
      <c r="J66" s="20" t="n">
        <f aca="false">IF($I66="Yes",IFERROR(INDEX('Buy List'!$A$2:$A$91,MATCH($F66,'Buy List'!$C$2:$C$91,0)),"-"),"-")</f>
        <v>36</v>
      </c>
      <c r="K66" s="24" t="s">
        <v>28</v>
      </c>
      <c r="L66" s="20" t="s">
        <v>378</v>
      </c>
    </row>
    <row r="67" customFormat="false" ht="26.85" hidden="false" customHeight="false" outlineLevel="0" collapsed="false">
      <c r="A67" s="20" t="n">
        <v>66</v>
      </c>
      <c r="B67" s="23" t="s">
        <v>468</v>
      </c>
      <c r="C67" s="20" t="s">
        <v>475</v>
      </c>
      <c r="D67" s="20" t="s">
        <v>291</v>
      </c>
      <c r="E67" s="20" t="s">
        <v>476</v>
      </c>
      <c r="F67" s="20" t="s">
        <v>477</v>
      </c>
      <c r="G67" s="28" t="s">
        <v>24</v>
      </c>
      <c r="H67" s="20" t="s">
        <v>478</v>
      </c>
      <c r="I67" s="20" t="s">
        <v>279</v>
      </c>
      <c r="J67" s="20" t="str">
        <f aca="false">IF($I67="Yes",IFERROR(INDEX('Buy List'!$A$2:$A$91,MATCH($F67,'Buy List'!$C$2:$C$91,0)),"-"),"-")</f>
        <v>-</v>
      </c>
      <c r="K67" s="24" t="s">
        <v>28</v>
      </c>
      <c r="L67" s="20" t="s">
        <v>479</v>
      </c>
    </row>
    <row r="68" customFormat="false" ht="26.85" hidden="false" customHeight="false" outlineLevel="0" collapsed="false">
      <c r="A68" s="20" t="n">
        <v>67</v>
      </c>
      <c r="B68" s="23" t="s">
        <v>468</v>
      </c>
      <c r="C68" s="20" t="s">
        <v>480</v>
      </c>
      <c r="D68" s="20" t="s">
        <v>295</v>
      </c>
      <c r="E68" s="20" t="s">
        <v>481</v>
      </c>
      <c r="F68" s="20" t="s">
        <v>96</v>
      </c>
      <c r="G68" s="25" t="s">
        <v>22</v>
      </c>
      <c r="H68" s="20" t="s">
        <v>329</v>
      </c>
      <c r="I68" s="20" t="s">
        <v>288</v>
      </c>
      <c r="J68" s="20" t="n">
        <f aca="false">IF($I68="Yes",IFERROR(INDEX('Buy List'!$A$2:$A$91,MATCH($F68,'Buy List'!$C$2:$C$91,0)),"-"),"-")</f>
        <v>14</v>
      </c>
      <c r="K68" s="24" t="s">
        <v>28</v>
      </c>
      <c r="L68" s="20" t="s">
        <v>378</v>
      </c>
    </row>
    <row r="69" customFormat="false" ht="26.85" hidden="false" customHeight="false" outlineLevel="0" collapsed="false">
      <c r="A69" s="20" t="n">
        <v>68</v>
      </c>
      <c r="B69" s="23" t="s">
        <v>468</v>
      </c>
      <c r="C69" s="20" t="s">
        <v>482</v>
      </c>
      <c r="D69" s="20" t="s">
        <v>299</v>
      </c>
      <c r="E69" s="20" t="s">
        <v>483</v>
      </c>
      <c r="F69" s="20" t="s">
        <v>86</v>
      </c>
      <c r="G69" s="25" t="s">
        <v>22</v>
      </c>
      <c r="H69" s="20" t="s">
        <v>329</v>
      </c>
      <c r="I69" s="20" t="s">
        <v>288</v>
      </c>
      <c r="J69" s="20" t="n">
        <f aca="false">IF($I69="Yes",IFERROR(INDEX('Buy List'!$A$2:$A$91,MATCH($F69,'Buy List'!$C$2:$C$91,0)),"-"),"-")</f>
        <v>11</v>
      </c>
      <c r="K69" s="24" t="s">
        <v>28</v>
      </c>
      <c r="L69" s="20" t="s">
        <v>378</v>
      </c>
    </row>
    <row r="70" customFormat="false" ht="26.85" hidden="false" customHeight="false" outlineLevel="0" collapsed="false">
      <c r="A70" s="20" t="n">
        <v>69</v>
      </c>
      <c r="B70" s="23" t="s">
        <v>468</v>
      </c>
      <c r="C70" s="20" t="s">
        <v>484</v>
      </c>
      <c r="D70" s="20" t="s">
        <v>303</v>
      </c>
      <c r="E70" s="20" t="s">
        <v>485</v>
      </c>
      <c r="F70" s="20" t="s">
        <v>72</v>
      </c>
      <c r="G70" s="24" t="s">
        <v>21</v>
      </c>
      <c r="H70" s="20"/>
      <c r="I70" s="20" t="s">
        <v>288</v>
      </c>
      <c r="J70" s="20" t="n">
        <f aca="false">IF($I70="Yes",IFERROR(INDEX('Buy List'!$A$2:$A$91,MATCH($F70,'Buy List'!$C$2:$C$91,0)),"-"),"-")</f>
        <v>6</v>
      </c>
      <c r="K70" s="19" t="s">
        <v>30</v>
      </c>
      <c r="L70" s="20" t="s">
        <v>486</v>
      </c>
    </row>
    <row r="71" customFormat="false" ht="26.85" hidden="false" customHeight="false" outlineLevel="0" collapsed="false">
      <c r="A71" s="20" t="n">
        <v>70</v>
      </c>
      <c r="B71" s="23" t="s">
        <v>468</v>
      </c>
      <c r="C71" s="20" t="s">
        <v>487</v>
      </c>
      <c r="D71" s="20" t="s">
        <v>307</v>
      </c>
      <c r="E71" s="20" t="s">
        <v>488</v>
      </c>
      <c r="F71" s="20" t="s">
        <v>75</v>
      </c>
      <c r="G71" s="24" t="s">
        <v>21</v>
      </c>
      <c r="H71" s="20"/>
      <c r="I71" s="20" t="s">
        <v>288</v>
      </c>
      <c r="J71" s="20" t="n">
        <f aca="false">IF($I71="Yes",IFERROR(INDEX('Buy List'!$A$2:$A$91,MATCH($F71,'Buy List'!$C$2:$C$91,0)),"-"),"-")</f>
        <v>7</v>
      </c>
      <c r="K71" s="19" t="s">
        <v>30</v>
      </c>
      <c r="L71" s="20" t="s">
        <v>489</v>
      </c>
    </row>
    <row r="72" customFormat="false" ht="26.85" hidden="false" customHeight="false" outlineLevel="0" collapsed="false">
      <c r="A72" s="20" t="n">
        <v>71</v>
      </c>
      <c r="B72" s="23" t="s">
        <v>468</v>
      </c>
      <c r="C72" s="20" t="s">
        <v>490</v>
      </c>
      <c r="D72" s="20" t="s">
        <v>311</v>
      </c>
      <c r="E72" s="20" t="s">
        <v>491</v>
      </c>
      <c r="F72" s="20" t="s">
        <v>153</v>
      </c>
      <c r="G72" s="25" t="s">
        <v>22</v>
      </c>
      <c r="H72" s="20" t="s">
        <v>329</v>
      </c>
      <c r="I72" s="20" t="s">
        <v>288</v>
      </c>
      <c r="J72" s="20" t="n">
        <f aca="false">IF($I72="Yes",IFERROR(INDEX('Buy List'!$A$2:$A$91,MATCH($F72,'Buy List'!$C$2:$C$91,0)),"-"),"-")</f>
        <v>38</v>
      </c>
      <c r="K72" s="24" t="s">
        <v>28</v>
      </c>
      <c r="L72" s="20" t="s">
        <v>378</v>
      </c>
    </row>
    <row r="73" customFormat="false" ht="26.85" hidden="false" customHeight="false" outlineLevel="0" collapsed="false">
      <c r="A73" s="20" t="n">
        <v>72</v>
      </c>
      <c r="B73" s="23" t="s">
        <v>468</v>
      </c>
      <c r="C73" s="20" t="s">
        <v>492</v>
      </c>
      <c r="D73" s="20" t="s">
        <v>314</v>
      </c>
      <c r="E73" s="20" t="s">
        <v>493</v>
      </c>
      <c r="F73" s="20" t="s">
        <v>145</v>
      </c>
      <c r="G73" s="25" t="s">
        <v>22</v>
      </c>
      <c r="H73" s="20" t="s">
        <v>329</v>
      </c>
      <c r="I73" s="20" t="s">
        <v>288</v>
      </c>
      <c r="J73" s="20" t="n">
        <f aca="false">IF($I73="Yes",IFERROR(INDEX('Buy List'!$A$2:$A$91,MATCH($F73,'Buy List'!$C$2:$C$91,0)),"-"),"-")</f>
        <v>34</v>
      </c>
      <c r="K73" s="24" t="s">
        <v>28</v>
      </c>
      <c r="L73" s="20" t="s">
        <v>378</v>
      </c>
    </row>
    <row r="74" customFormat="false" ht="26.85" hidden="false" customHeight="false" outlineLevel="0" collapsed="false">
      <c r="A74" s="20" t="n">
        <v>73</v>
      </c>
      <c r="B74" s="23" t="s">
        <v>494</v>
      </c>
      <c r="C74" s="20" t="s">
        <v>495</v>
      </c>
      <c r="D74" s="20" t="s">
        <v>276</v>
      </c>
      <c r="E74" s="20" t="s">
        <v>496</v>
      </c>
      <c r="F74" s="20" t="s">
        <v>210</v>
      </c>
      <c r="G74" s="25" t="s">
        <v>22</v>
      </c>
      <c r="H74" s="20" t="s">
        <v>329</v>
      </c>
      <c r="I74" s="20" t="s">
        <v>288</v>
      </c>
      <c r="J74" s="20" t="n">
        <f aca="false">IF($I74="Yes",IFERROR(INDEX('Buy List'!$A$2:$A$91,MATCH($F74,'Buy List'!$C$2:$C$91,0)),"-"),"-")</f>
        <v>64</v>
      </c>
      <c r="K74" s="24" t="s">
        <v>28</v>
      </c>
      <c r="L74" s="20" t="s">
        <v>497</v>
      </c>
    </row>
    <row r="75" customFormat="false" ht="26.85" hidden="false" customHeight="false" outlineLevel="0" collapsed="false">
      <c r="A75" s="20" t="n">
        <v>74</v>
      </c>
      <c r="B75" s="23" t="s">
        <v>494</v>
      </c>
      <c r="C75" s="20" t="s">
        <v>495</v>
      </c>
      <c r="D75" s="20" t="s">
        <v>282</v>
      </c>
      <c r="E75" s="20" t="s">
        <v>498</v>
      </c>
      <c r="F75" s="20" t="s">
        <v>204</v>
      </c>
      <c r="G75" s="25" t="s">
        <v>22</v>
      </c>
      <c r="H75" s="20" t="s">
        <v>329</v>
      </c>
      <c r="I75" s="20" t="s">
        <v>288</v>
      </c>
      <c r="J75" s="20" t="n">
        <f aca="false">IF($I75="Yes",IFERROR(INDEX('Buy List'!$A$2:$A$91,MATCH($F75,'Buy List'!$C$2:$C$91,0)),"-"),"-")</f>
        <v>61</v>
      </c>
      <c r="K75" s="24" t="s">
        <v>28</v>
      </c>
      <c r="L75" s="20" t="s">
        <v>499</v>
      </c>
    </row>
    <row r="76" customFormat="false" ht="26.85" hidden="false" customHeight="false" outlineLevel="0" collapsed="false">
      <c r="A76" s="20" t="n">
        <v>75</v>
      </c>
      <c r="B76" s="23" t="s">
        <v>494</v>
      </c>
      <c r="C76" s="20" t="s">
        <v>495</v>
      </c>
      <c r="D76" s="20" t="s">
        <v>286</v>
      </c>
      <c r="E76" s="20" t="s">
        <v>500</v>
      </c>
      <c r="F76" s="20" t="s">
        <v>90</v>
      </c>
      <c r="G76" s="25" t="s">
        <v>22</v>
      </c>
      <c r="H76" s="20" t="s">
        <v>329</v>
      </c>
      <c r="I76" s="20" t="s">
        <v>288</v>
      </c>
      <c r="J76" s="20" t="n">
        <f aca="false">IF($I76="Yes",IFERROR(INDEX('Buy List'!$A$2:$A$91,MATCH($F76,'Buy List'!$C$2:$C$91,0)),"-"),"-")</f>
        <v>12</v>
      </c>
      <c r="K76" s="24" t="s">
        <v>28</v>
      </c>
      <c r="L76" s="20" t="s">
        <v>497</v>
      </c>
    </row>
    <row r="77" customFormat="false" ht="26.85" hidden="false" customHeight="false" outlineLevel="0" collapsed="false">
      <c r="A77" s="20" t="n">
        <v>76</v>
      </c>
      <c r="B77" s="23" t="s">
        <v>494</v>
      </c>
      <c r="C77" s="20" t="s">
        <v>495</v>
      </c>
      <c r="D77" s="20" t="s">
        <v>291</v>
      </c>
      <c r="E77" s="20" t="s">
        <v>501</v>
      </c>
      <c r="F77" s="20" t="s">
        <v>212</v>
      </c>
      <c r="G77" s="25" t="s">
        <v>22</v>
      </c>
      <c r="H77" s="20" t="s">
        <v>329</v>
      </c>
      <c r="I77" s="20" t="s">
        <v>288</v>
      </c>
      <c r="J77" s="20" t="n">
        <f aca="false">IF($I77="Yes",IFERROR(INDEX('Buy List'!$A$2:$A$91,MATCH($F77,'Buy List'!$C$2:$C$91,0)),"-"),"-")</f>
        <v>65</v>
      </c>
      <c r="K77" s="24" t="s">
        <v>28</v>
      </c>
      <c r="L77" s="20" t="s">
        <v>497</v>
      </c>
    </row>
    <row r="78" customFormat="false" ht="26.85" hidden="false" customHeight="false" outlineLevel="0" collapsed="false">
      <c r="A78" s="20" t="n">
        <v>77</v>
      </c>
      <c r="B78" s="23" t="s">
        <v>494</v>
      </c>
      <c r="C78" s="20" t="s">
        <v>502</v>
      </c>
      <c r="D78" s="20" t="s">
        <v>295</v>
      </c>
      <c r="E78" s="20" t="s">
        <v>503</v>
      </c>
      <c r="F78" s="20" t="s">
        <v>99</v>
      </c>
      <c r="G78" s="25" t="s">
        <v>22</v>
      </c>
      <c r="H78" s="20" t="s">
        <v>329</v>
      </c>
      <c r="I78" s="20" t="s">
        <v>288</v>
      </c>
      <c r="J78" s="20" t="n">
        <f aca="false">IF($I78="Yes",IFERROR(INDEX('Buy List'!$A$2:$A$91,MATCH($F78,'Buy List'!$C$2:$C$91,0)),"-"),"-")</f>
        <v>15</v>
      </c>
      <c r="K78" s="24" t="s">
        <v>28</v>
      </c>
      <c r="L78" s="20" t="s">
        <v>504</v>
      </c>
    </row>
    <row r="79" customFormat="false" ht="26.85" hidden="false" customHeight="false" outlineLevel="0" collapsed="false">
      <c r="A79" s="20" t="n">
        <v>78</v>
      </c>
      <c r="B79" s="23" t="s">
        <v>494</v>
      </c>
      <c r="C79" s="20" t="s">
        <v>502</v>
      </c>
      <c r="D79" s="20" t="s">
        <v>299</v>
      </c>
      <c r="E79" s="20" t="s">
        <v>505</v>
      </c>
      <c r="F79" s="20" t="s">
        <v>206</v>
      </c>
      <c r="G79" s="25" t="s">
        <v>22</v>
      </c>
      <c r="H79" s="20" t="s">
        <v>329</v>
      </c>
      <c r="I79" s="20" t="s">
        <v>288</v>
      </c>
      <c r="J79" s="20" t="n">
        <f aca="false">IF($I79="Yes",IFERROR(INDEX('Buy List'!$A$2:$A$91,MATCH($F79,'Buy List'!$C$2:$C$91,0)),"-"),"-")</f>
        <v>62</v>
      </c>
      <c r="K79" s="24" t="s">
        <v>28</v>
      </c>
      <c r="L79" s="20" t="s">
        <v>378</v>
      </c>
    </row>
    <row r="80" customFormat="false" ht="26.85" hidden="false" customHeight="false" outlineLevel="0" collapsed="false">
      <c r="A80" s="20" t="n">
        <v>79</v>
      </c>
      <c r="B80" s="23" t="s">
        <v>494</v>
      </c>
      <c r="C80" s="20" t="s">
        <v>502</v>
      </c>
      <c r="D80" s="20" t="s">
        <v>303</v>
      </c>
      <c r="E80" s="20" t="s">
        <v>506</v>
      </c>
      <c r="F80" s="20" t="s">
        <v>214</v>
      </c>
      <c r="G80" s="25" t="s">
        <v>22</v>
      </c>
      <c r="H80" s="20" t="s">
        <v>329</v>
      </c>
      <c r="I80" s="20" t="s">
        <v>288</v>
      </c>
      <c r="J80" s="20" t="n">
        <f aca="false">IF($I80="Yes",IFERROR(INDEX('Buy List'!$A$2:$A$91,MATCH($F80,'Buy List'!$C$2:$C$91,0)),"-"),"-")</f>
        <v>66</v>
      </c>
      <c r="K80" s="24" t="s">
        <v>28</v>
      </c>
      <c r="L80" s="20" t="s">
        <v>378</v>
      </c>
    </row>
    <row r="81" customFormat="false" ht="26.85" hidden="false" customHeight="false" outlineLevel="0" collapsed="false">
      <c r="A81" s="20" t="n">
        <v>80</v>
      </c>
      <c r="B81" s="23" t="s">
        <v>494</v>
      </c>
      <c r="C81" s="20" t="s">
        <v>502</v>
      </c>
      <c r="D81" s="20" t="s">
        <v>307</v>
      </c>
      <c r="E81" s="20" t="s">
        <v>507</v>
      </c>
      <c r="F81" s="20" t="s">
        <v>208</v>
      </c>
      <c r="G81" s="25" t="s">
        <v>22</v>
      </c>
      <c r="H81" s="20" t="s">
        <v>329</v>
      </c>
      <c r="I81" s="20" t="s">
        <v>288</v>
      </c>
      <c r="J81" s="20" t="n">
        <f aca="false">IF($I81="Yes",IFERROR(INDEX('Buy List'!$A$2:$A$91,MATCH($F81,'Buy List'!$C$2:$C$91,0)),"-"),"-")</f>
        <v>63</v>
      </c>
      <c r="K81" s="24" t="s">
        <v>28</v>
      </c>
      <c r="L81" s="20" t="s">
        <v>378</v>
      </c>
    </row>
    <row r="82" customFormat="false" ht="26.85" hidden="false" customHeight="false" outlineLevel="0" collapsed="false">
      <c r="A82" s="20" t="n">
        <v>81</v>
      </c>
      <c r="B82" s="23" t="s">
        <v>494</v>
      </c>
      <c r="C82" s="20" t="s">
        <v>502</v>
      </c>
      <c r="D82" s="20" t="s">
        <v>311</v>
      </c>
      <c r="E82" s="20" t="s">
        <v>508</v>
      </c>
      <c r="F82" s="20" t="s">
        <v>201</v>
      </c>
      <c r="G82" s="25" t="s">
        <v>22</v>
      </c>
      <c r="H82" s="20" t="s">
        <v>329</v>
      </c>
      <c r="I82" s="20" t="s">
        <v>288</v>
      </c>
      <c r="J82" s="20" t="n">
        <f aca="false">IF($I82="Yes",IFERROR(INDEX('Buy List'!$A$2:$A$91,MATCH($F82,'Buy List'!$C$2:$C$91,0)),"-"),"-")</f>
        <v>60</v>
      </c>
      <c r="K82" s="24" t="s">
        <v>28</v>
      </c>
      <c r="L82" s="20" t="s">
        <v>509</v>
      </c>
    </row>
    <row r="83" customFormat="false" ht="26.85" hidden="false" customHeight="false" outlineLevel="0" collapsed="false">
      <c r="A83" s="20" t="n">
        <v>82</v>
      </c>
      <c r="B83" s="23" t="s">
        <v>494</v>
      </c>
      <c r="C83" s="20" t="s">
        <v>510</v>
      </c>
      <c r="D83" s="20" t="s">
        <v>314</v>
      </c>
      <c r="E83" s="20" t="s">
        <v>511</v>
      </c>
      <c r="F83" s="20" t="s">
        <v>86</v>
      </c>
      <c r="G83" s="25" t="s">
        <v>22</v>
      </c>
      <c r="H83" s="20" t="s">
        <v>329</v>
      </c>
      <c r="I83" s="20" t="s">
        <v>288</v>
      </c>
      <c r="J83" s="20" t="n">
        <f aca="false">IF($I83="Yes",IFERROR(INDEX('Buy List'!$A$2:$A$91,MATCH($F83,'Buy List'!$C$2:$C$91,0)),"-"),"-")</f>
        <v>11</v>
      </c>
      <c r="K83" s="26" t="s">
        <v>29</v>
      </c>
      <c r="L83" s="20" t="s">
        <v>512</v>
      </c>
    </row>
    <row r="84" customFormat="false" ht="26.85" hidden="false" customHeight="false" outlineLevel="0" collapsed="false">
      <c r="A84" s="20" t="n">
        <v>83</v>
      </c>
      <c r="B84" s="23" t="s">
        <v>513</v>
      </c>
      <c r="C84" s="20" t="s">
        <v>514</v>
      </c>
      <c r="D84" s="20" t="s">
        <v>276</v>
      </c>
      <c r="E84" s="20" t="s">
        <v>515</v>
      </c>
      <c r="F84" s="20" t="s">
        <v>516</v>
      </c>
      <c r="G84" s="19" t="s">
        <v>26</v>
      </c>
      <c r="H84" s="20" t="s">
        <v>517</v>
      </c>
      <c r="I84" s="20" t="s">
        <v>279</v>
      </c>
      <c r="J84" s="20" t="str">
        <f aca="false">IF($I84="Yes",IFERROR(INDEX('Buy List'!$A$2:$A$91,MATCH($F84,'Buy List'!$C$2:$C$91,0)),"-"),"-")</f>
        <v>-</v>
      </c>
      <c r="K84" s="19" t="s">
        <v>30</v>
      </c>
      <c r="L84" s="20" t="s">
        <v>518</v>
      </c>
    </row>
    <row r="85" customFormat="false" ht="26.85" hidden="false" customHeight="false" outlineLevel="0" collapsed="false">
      <c r="A85" s="20" t="n">
        <v>84</v>
      </c>
      <c r="B85" s="23" t="s">
        <v>513</v>
      </c>
      <c r="C85" s="20" t="s">
        <v>519</v>
      </c>
      <c r="D85" s="20" t="s">
        <v>282</v>
      </c>
      <c r="E85" s="20" t="s">
        <v>520</v>
      </c>
      <c r="F85" s="20" t="s">
        <v>521</v>
      </c>
      <c r="G85" s="28" t="s">
        <v>24</v>
      </c>
      <c r="H85" s="20" t="s">
        <v>522</v>
      </c>
      <c r="I85" s="20" t="s">
        <v>279</v>
      </c>
      <c r="J85" s="20" t="str">
        <f aca="false">IF($I85="Yes",IFERROR(INDEX('Buy List'!$A$2:$A$91,MATCH($F85,'Buy List'!$C$2:$C$91,0)),"-"),"-")</f>
        <v>-</v>
      </c>
      <c r="K85" s="24" t="s">
        <v>28</v>
      </c>
      <c r="L85" s="20" t="s">
        <v>523</v>
      </c>
    </row>
    <row r="86" customFormat="false" ht="26.85" hidden="false" customHeight="false" outlineLevel="0" collapsed="false">
      <c r="A86" s="20" t="n">
        <v>85</v>
      </c>
      <c r="B86" s="23" t="s">
        <v>513</v>
      </c>
      <c r="C86" s="20" t="s">
        <v>524</v>
      </c>
      <c r="D86" s="20" t="s">
        <v>286</v>
      </c>
      <c r="E86" s="20" t="s">
        <v>525</v>
      </c>
      <c r="F86" s="20" t="s">
        <v>526</v>
      </c>
      <c r="G86" s="28" t="s">
        <v>24</v>
      </c>
      <c r="H86" s="20" t="s">
        <v>522</v>
      </c>
      <c r="I86" s="20" t="s">
        <v>279</v>
      </c>
      <c r="J86" s="20" t="str">
        <f aca="false">IF($I86="Yes",IFERROR(INDEX('Buy List'!$A$2:$A$91,MATCH($F86,'Buy List'!$C$2:$C$91,0)),"-"),"-")</f>
        <v>-</v>
      </c>
      <c r="K86" s="26" t="s">
        <v>29</v>
      </c>
      <c r="L86" s="20" t="s">
        <v>527</v>
      </c>
    </row>
    <row r="87" customFormat="false" ht="26.85" hidden="false" customHeight="false" outlineLevel="0" collapsed="false">
      <c r="A87" s="20" t="n">
        <v>86</v>
      </c>
      <c r="B87" s="23" t="s">
        <v>513</v>
      </c>
      <c r="C87" s="20" t="s">
        <v>528</v>
      </c>
      <c r="D87" s="20" t="s">
        <v>291</v>
      </c>
      <c r="E87" s="20" t="s">
        <v>529</v>
      </c>
      <c r="F87" s="20" t="s">
        <v>530</v>
      </c>
      <c r="G87" s="28" t="s">
        <v>24</v>
      </c>
      <c r="H87" s="20" t="s">
        <v>522</v>
      </c>
      <c r="I87" s="20" t="s">
        <v>279</v>
      </c>
      <c r="J87" s="20" t="str">
        <f aca="false">IF($I87="Yes",IFERROR(INDEX('Buy List'!$A$2:$A$91,MATCH($F87,'Buy List'!$C$2:$C$91,0)),"-"),"-")</f>
        <v>-</v>
      </c>
      <c r="K87" s="24" t="s">
        <v>28</v>
      </c>
      <c r="L87" s="20" t="s">
        <v>378</v>
      </c>
    </row>
    <row r="88" customFormat="false" ht="26.85" hidden="false" customHeight="false" outlineLevel="0" collapsed="false">
      <c r="A88" s="20" t="n">
        <v>87</v>
      </c>
      <c r="B88" s="23" t="s">
        <v>513</v>
      </c>
      <c r="C88" s="20" t="s">
        <v>531</v>
      </c>
      <c r="D88" s="20" t="s">
        <v>295</v>
      </c>
      <c r="E88" s="20" t="s">
        <v>532</v>
      </c>
      <c r="F88" s="20" t="s">
        <v>533</v>
      </c>
      <c r="G88" s="28" t="s">
        <v>24</v>
      </c>
      <c r="H88" s="20" t="s">
        <v>522</v>
      </c>
      <c r="I88" s="20" t="s">
        <v>279</v>
      </c>
      <c r="J88" s="20" t="str">
        <f aca="false">IF($I88="Yes",IFERROR(INDEX('Buy List'!$A$2:$A$91,MATCH($F88,'Buy List'!$C$2:$C$91,0)),"-"),"-")</f>
        <v>-</v>
      </c>
      <c r="K88" s="24" t="s">
        <v>28</v>
      </c>
      <c r="L88" s="20" t="s">
        <v>378</v>
      </c>
    </row>
    <row r="89" customFormat="false" ht="26.85" hidden="false" customHeight="false" outlineLevel="0" collapsed="false">
      <c r="A89" s="20" t="n">
        <v>88</v>
      </c>
      <c r="B89" s="23" t="s">
        <v>513</v>
      </c>
      <c r="C89" s="20" t="s">
        <v>534</v>
      </c>
      <c r="D89" s="20" t="s">
        <v>299</v>
      </c>
      <c r="E89" s="20" t="s">
        <v>535</v>
      </c>
      <c r="F89" s="20" t="s">
        <v>536</v>
      </c>
      <c r="G89" s="28" t="s">
        <v>24</v>
      </c>
      <c r="H89" s="20" t="s">
        <v>522</v>
      </c>
      <c r="I89" s="20" t="s">
        <v>279</v>
      </c>
      <c r="J89" s="20" t="str">
        <f aca="false">IF($I89="Yes",IFERROR(INDEX('Buy List'!$A$2:$A$91,MATCH($F89,'Buy List'!$C$2:$C$91,0)),"-"),"-")</f>
        <v>-</v>
      </c>
      <c r="K89" s="24" t="s">
        <v>28</v>
      </c>
      <c r="L89" s="20" t="s">
        <v>378</v>
      </c>
    </row>
    <row r="90" customFormat="false" ht="26.85" hidden="false" customHeight="false" outlineLevel="0" collapsed="false">
      <c r="A90" s="20" t="n">
        <v>89</v>
      </c>
      <c r="B90" s="23" t="s">
        <v>513</v>
      </c>
      <c r="C90" s="20" t="s">
        <v>537</v>
      </c>
      <c r="D90" s="20" t="s">
        <v>303</v>
      </c>
      <c r="E90" s="20" t="s">
        <v>538</v>
      </c>
      <c r="F90" s="20" t="s">
        <v>539</v>
      </c>
      <c r="G90" s="28" t="s">
        <v>24</v>
      </c>
      <c r="H90" s="20" t="s">
        <v>522</v>
      </c>
      <c r="I90" s="20" t="s">
        <v>279</v>
      </c>
      <c r="J90" s="20" t="str">
        <f aca="false">IF($I90="Yes",IFERROR(INDEX('Buy List'!$A$2:$A$91,MATCH($F90,'Buy List'!$C$2:$C$91,0)),"-"),"-")</f>
        <v>-</v>
      </c>
      <c r="K90" s="26" t="s">
        <v>29</v>
      </c>
      <c r="L90" s="20" t="s">
        <v>540</v>
      </c>
    </row>
    <row r="91" customFormat="false" ht="26.85" hidden="false" customHeight="false" outlineLevel="0" collapsed="false">
      <c r="A91" s="20" t="n">
        <v>90</v>
      </c>
      <c r="B91" s="23" t="s">
        <v>513</v>
      </c>
      <c r="C91" s="20" t="s">
        <v>541</v>
      </c>
      <c r="D91" s="20" t="s">
        <v>307</v>
      </c>
      <c r="E91" s="20" t="s">
        <v>542</v>
      </c>
      <c r="F91" s="20" t="s">
        <v>543</v>
      </c>
      <c r="G91" s="28" t="s">
        <v>24</v>
      </c>
      <c r="H91" s="20" t="s">
        <v>522</v>
      </c>
      <c r="I91" s="20" t="s">
        <v>279</v>
      </c>
      <c r="J91" s="20" t="str">
        <f aca="false">IF($I91="Yes",IFERROR(INDEX('Buy List'!$A$2:$A$91,MATCH($F91,'Buy List'!$C$2:$C$91,0)),"-"),"-")</f>
        <v>-</v>
      </c>
      <c r="K91" s="24" t="s">
        <v>28</v>
      </c>
      <c r="L91" s="20" t="s">
        <v>378</v>
      </c>
    </row>
    <row r="92" customFormat="false" ht="26.85" hidden="false" customHeight="false" outlineLevel="0" collapsed="false">
      <c r="A92" s="20" t="n">
        <v>91</v>
      </c>
      <c r="B92" s="23" t="s">
        <v>513</v>
      </c>
      <c r="C92" s="20" t="s">
        <v>544</v>
      </c>
      <c r="D92" s="20" t="s">
        <v>311</v>
      </c>
      <c r="E92" s="20" t="s">
        <v>545</v>
      </c>
      <c r="F92" s="20" t="s">
        <v>546</v>
      </c>
      <c r="G92" s="28" t="s">
        <v>24</v>
      </c>
      <c r="H92" s="20" t="s">
        <v>522</v>
      </c>
      <c r="I92" s="20" t="s">
        <v>279</v>
      </c>
      <c r="J92" s="20" t="str">
        <f aca="false">IF($I92="Yes",IFERROR(INDEX('Buy List'!$A$2:$A$91,MATCH($F92,'Buy List'!$C$2:$C$91,0)),"-"),"-")</f>
        <v>-</v>
      </c>
      <c r="K92" s="24" t="s">
        <v>28</v>
      </c>
      <c r="L92" s="20" t="s">
        <v>378</v>
      </c>
    </row>
    <row r="93" customFormat="false" ht="26.85" hidden="false" customHeight="false" outlineLevel="0" collapsed="false">
      <c r="A93" s="20" t="n">
        <v>92</v>
      </c>
      <c r="B93" s="23" t="s">
        <v>513</v>
      </c>
      <c r="C93" s="20" t="s">
        <v>547</v>
      </c>
      <c r="D93" s="20" t="s">
        <v>314</v>
      </c>
      <c r="E93" s="20" t="s">
        <v>548</v>
      </c>
      <c r="F93" s="20" t="s">
        <v>549</v>
      </c>
      <c r="G93" s="28" t="s">
        <v>24</v>
      </c>
      <c r="H93" s="20" t="s">
        <v>522</v>
      </c>
      <c r="I93" s="20" t="s">
        <v>279</v>
      </c>
      <c r="J93" s="20" t="str">
        <f aca="false">IF($I93="Yes",IFERROR(INDEX('Buy List'!$A$2:$A$91,MATCH($F93,'Buy List'!$C$2:$C$91,0)),"-"),"-")</f>
        <v>-</v>
      </c>
      <c r="K93" s="24" t="s">
        <v>28</v>
      </c>
      <c r="L93" s="20" t="s">
        <v>378</v>
      </c>
    </row>
    <row r="94" customFormat="false" ht="26.85" hidden="false" customHeight="false" outlineLevel="0" collapsed="false">
      <c r="A94" s="20" t="n">
        <v>93</v>
      </c>
      <c r="B94" s="23" t="s">
        <v>550</v>
      </c>
      <c r="C94" s="20" t="s">
        <v>551</v>
      </c>
      <c r="D94" s="20" t="s">
        <v>276</v>
      </c>
      <c r="E94" s="20" t="s">
        <v>552</v>
      </c>
      <c r="F94" s="20" t="s">
        <v>183</v>
      </c>
      <c r="G94" s="28" t="s">
        <v>24</v>
      </c>
      <c r="H94" s="20" t="s">
        <v>553</v>
      </c>
      <c r="I94" s="20" t="s">
        <v>279</v>
      </c>
      <c r="J94" s="20" t="str">
        <f aca="false">IF($I94="Yes",IFERROR(INDEX('Buy List'!$A$2:$A$91,MATCH($F94,'Buy List'!$C$2:$C$91,0)),"-"),"-")</f>
        <v>-</v>
      </c>
      <c r="K94" s="24" t="s">
        <v>28</v>
      </c>
      <c r="L94" s="20" t="s">
        <v>448</v>
      </c>
    </row>
    <row r="95" customFormat="false" ht="26.85" hidden="false" customHeight="false" outlineLevel="0" collapsed="false">
      <c r="A95" s="20" t="n">
        <v>94</v>
      </c>
      <c r="B95" s="23" t="s">
        <v>550</v>
      </c>
      <c r="C95" s="20" t="s">
        <v>554</v>
      </c>
      <c r="D95" s="20" t="s">
        <v>282</v>
      </c>
      <c r="E95" s="20" t="s">
        <v>555</v>
      </c>
      <c r="F95" s="20" t="s">
        <v>102</v>
      </c>
      <c r="G95" s="28" t="s">
        <v>24</v>
      </c>
      <c r="H95" s="20" t="s">
        <v>553</v>
      </c>
      <c r="I95" s="20" t="s">
        <v>279</v>
      </c>
      <c r="J95" s="20" t="str">
        <f aca="false">IF($I95="Yes",IFERROR(INDEX('Buy List'!$A$2:$A$91,MATCH($F95,'Buy List'!$C$2:$C$91,0)),"-"),"-")</f>
        <v>-</v>
      </c>
      <c r="K95" s="26" t="s">
        <v>29</v>
      </c>
      <c r="L95" s="20" t="s">
        <v>556</v>
      </c>
    </row>
    <row r="96" customFormat="false" ht="26.85" hidden="false" customHeight="false" outlineLevel="0" collapsed="false">
      <c r="A96" s="20" t="n">
        <v>95</v>
      </c>
      <c r="B96" s="23" t="s">
        <v>550</v>
      </c>
      <c r="C96" s="20" t="s">
        <v>557</v>
      </c>
      <c r="D96" s="20" t="s">
        <v>286</v>
      </c>
      <c r="E96" s="20" t="s">
        <v>558</v>
      </c>
      <c r="F96" s="20" t="s">
        <v>559</v>
      </c>
      <c r="G96" s="28" t="s">
        <v>24</v>
      </c>
      <c r="H96" s="20" t="s">
        <v>553</v>
      </c>
      <c r="I96" s="20" t="s">
        <v>279</v>
      </c>
      <c r="J96" s="20" t="str">
        <f aca="false">IF($I96="Yes",IFERROR(INDEX('Buy List'!$A$2:$A$91,MATCH($F96,'Buy List'!$C$2:$C$91,0)),"-"),"-")</f>
        <v>-</v>
      </c>
      <c r="K96" s="26" t="s">
        <v>29</v>
      </c>
      <c r="L96" s="20" t="s">
        <v>560</v>
      </c>
    </row>
    <row r="97" customFormat="false" ht="26.85" hidden="false" customHeight="false" outlineLevel="0" collapsed="false">
      <c r="A97" s="20" t="n">
        <v>96</v>
      </c>
      <c r="B97" s="23" t="s">
        <v>550</v>
      </c>
      <c r="C97" s="20" t="s">
        <v>561</v>
      </c>
      <c r="D97" s="20" t="s">
        <v>291</v>
      </c>
      <c r="E97" s="20" t="s">
        <v>562</v>
      </c>
      <c r="F97" s="20" t="s">
        <v>563</v>
      </c>
      <c r="G97" s="28" t="s">
        <v>24</v>
      </c>
      <c r="H97" s="20" t="s">
        <v>553</v>
      </c>
      <c r="I97" s="20" t="s">
        <v>279</v>
      </c>
      <c r="J97" s="20" t="str">
        <f aca="false">IF($I97="Yes",IFERROR(INDEX('Buy List'!$A$2:$A$91,MATCH($F97,'Buy List'!$C$2:$C$91,0)),"-"),"-")</f>
        <v>-</v>
      </c>
      <c r="K97" s="24" t="s">
        <v>28</v>
      </c>
      <c r="L97" s="20" t="s">
        <v>396</v>
      </c>
    </row>
    <row r="98" customFormat="false" ht="26.85" hidden="false" customHeight="false" outlineLevel="0" collapsed="false">
      <c r="A98" s="20" t="n">
        <v>97</v>
      </c>
      <c r="B98" s="23" t="s">
        <v>550</v>
      </c>
      <c r="C98" s="20" t="s">
        <v>564</v>
      </c>
      <c r="D98" s="20" t="s">
        <v>295</v>
      </c>
      <c r="E98" s="20" t="s">
        <v>565</v>
      </c>
      <c r="F98" s="20" t="s">
        <v>566</v>
      </c>
      <c r="G98" s="28" t="s">
        <v>24</v>
      </c>
      <c r="H98" s="20" t="s">
        <v>553</v>
      </c>
      <c r="I98" s="20" t="s">
        <v>279</v>
      </c>
      <c r="J98" s="20" t="str">
        <f aca="false">IF($I98="Yes",IFERROR(INDEX('Buy List'!$A$2:$A$91,MATCH($F98,'Buy List'!$C$2:$C$91,0)),"-"),"-")</f>
        <v>-</v>
      </c>
      <c r="K98" s="24" t="s">
        <v>28</v>
      </c>
      <c r="L98" s="20" t="s">
        <v>396</v>
      </c>
    </row>
    <row r="99" customFormat="false" ht="26.85" hidden="false" customHeight="false" outlineLevel="0" collapsed="false">
      <c r="A99" s="20" t="n">
        <v>98</v>
      </c>
      <c r="B99" s="23" t="s">
        <v>550</v>
      </c>
      <c r="C99" s="20" t="s">
        <v>567</v>
      </c>
      <c r="D99" s="20" t="s">
        <v>299</v>
      </c>
      <c r="E99" s="20" t="s">
        <v>568</v>
      </c>
      <c r="F99" s="20" t="s">
        <v>106</v>
      </c>
      <c r="G99" s="28" t="s">
        <v>24</v>
      </c>
      <c r="H99" s="20" t="s">
        <v>553</v>
      </c>
      <c r="I99" s="20" t="s">
        <v>279</v>
      </c>
      <c r="J99" s="20" t="str">
        <f aca="false">IF($I99="Yes",IFERROR(INDEX('Buy List'!$A$2:$A$91,MATCH($F99,'Buy List'!$C$2:$C$91,0)),"-"),"-")</f>
        <v>-</v>
      </c>
      <c r="K99" s="24" t="s">
        <v>28</v>
      </c>
      <c r="L99" s="20" t="s">
        <v>396</v>
      </c>
    </row>
    <row r="100" customFormat="false" ht="26.85" hidden="false" customHeight="false" outlineLevel="0" collapsed="false">
      <c r="A100" s="20" t="n">
        <v>99</v>
      </c>
      <c r="B100" s="23" t="s">
        <v>550</v>
      </c>
      <c r="C100" s="20" t="s">
        <v>569</v>
      </c>
      <c r="D100" s="20" t="s">
        <v>303</v>
      </c>
      <c r="E100" s="20" t="s">
        <v>570</v>
      </c>
      <c r="F100" s="20" t="s">
        <v>571</v>
      </c>
      <c r="G100" s="28" t="s">
        <v>24</v>
      </c>
      <c r="H100" s="20" t="s">
        <v>553</v>
      </c>
      <c r="I100" s="20" t="s">
        <v>279</v>
      </c>
      <c r="J100" s="20" t="str">
        <f aca="false">IF($I100="Yes",IFERROR(INDEX('Buy List'!$A$2:$A$91,MATCH($F100,'Buy List'!$C$2:$C$91,0)),"-"),"-")</f>
        <v>-</v>
      </c>
      <c r="K100" s="24" t="s">
        <v>28</v>
      </c>
      <c r="L100" s="20" t="s">
        <v>396</v>
      </c>
    </row>
    <row r="101" customFormat="false" ht="26.85" hidden="false" customHeight="false" outlineLevel="0" collapsed="false">
      <c r="A101" s="20" t="n">
        <v>100</v>
      </c>
      <c r="B101" s="23" t="s">
        <v>550</v>
      </c>
      <c r="C101" s="20" t="s">
        <v>572</v>
      </c>
      <c r="D101" s="20" t="s">
        <v>307</v>
      </c>
      <c r="E101" s="20" t="s">
        <v>573</v>
      </c>
      <c r="F101" s="20" t="s">
        <v>574</v>
      </c>
      <c r="G101" s="28" t="s">
        <v>24</v>
      </c>
      <c r="H101" s="20" t="s">
        <v>553</v>
      </c>
      <c r="I101" s="20" t="s">
        <v>279</v>
      </c>
      <c r="J101" s="20" t="str">
        <f aca="false">IF($I101="Yes",IFERROR(INDEX('Buy List'!$A$2:$A$91,MATCH($F101,'Buy List'!$C$2:$C$91,0)),"-"),"-")</f>
        <v>-</v>
      </c>
      <c r="K101" s="24" t="s">
        <v>28</v>
      </c>
      <c r="L101" s="20" t="s">
        <v>396</v>
      </c>
    </row>
    <row r="102" customFormat="false" ht="26.85" hidden="false" customHeight="false" outlineLevel="0" collapsed="false">
      <c r="A102" s="20" t="n">
        <v>101</v>
      </c>
      <c r="B102" s="23" t="s">
        <v>550</v>
      </c>
      <c r="C102" s="20" t="s">
        <v>575</v>
      </c>
      <c r="D102" s="20" t="s">
        <v>311</v>
      </c>
      <c r="E102" s="20" t="s">
        <v>576</v>
      </c>
      <c r="F102" s="20" t="s">
        <v>577</v>
      </c>
      <c r="G102" s="28" t="s">
        <v>24</v>
      </c>
      <c r="H102" s="20" t="s">
        <v>553</v>
      </c>
      <c r="I102" s="20" t="s">
        <v>279</v>
      </c>
      <c r="J102" s="20" t="str">
        <f aca="false">IF($I102="Yes",IFERROR(INDEX('Buy List'!$A$2:$A$91,MATCH($F102,'Buy List'!$C$2:$C$91,0)),"-"),"-")</f>
        <v>-</v>
      </c>
      <c r="K102" s="24" t="s">
        <v>28</v>
      </c>
      <c r="L102" s="20" t="s">
        <v>396</v>
      </c>
    </row>
    <row r="103" customFormat="false" ht="26.85" hidden="false" customHeight="false" outlineLevel="0" collapsed="false">
      <c r="A103" s="20" t="n">
        <v>102</v>
      </c>
      <c r="B103" s="23" t="s">
        <v>550</v>
      </c>
      <c r="C103" s="20" t="s">
        <v>578</v>
      </c>
      <c r="D103" s="20" t="s">
        <v>314</v>
      </c>
      <c r="E103" s="20" t="s">
        <v>579</v>
      </c>
      <c r="F103" s="20" t="s">
        <v>580</v>
      </c>
      <c r="G103" s="28" t="s">
        <v>24</v>
      </c>
      <c r="H103" s="20" t="s">
        <v>553</v>
      </c>
      <c r="I103" s="20" t="s">
        <v>279</v>
      </c>
      <c r="J103" s="20" t="str">
        <f aca="false">IF($I103="Yes",IFERROR(INDEX('Buy List'!$A$2:$A$91,MATCH($F103,'Buy List'!$C$2:$C$91,0)),"-"),"-")</f>
        <v>-</v>
      </c>
      <c r="K103" s="26" t="s">
        <v>29</v>
      </c>
      <c r="L103" s="20" t="s">
        <v>581</v>
      </c>
    </row>
    <row r="104" customFormat="false" ht="26.85" hidden="false" customHeight="false" outlineLevel="0" collapsed="false">
      <c r="A104" s="20" t="n">
        <v>103</v>
      </c>
      <c r="B104" s="23" t="s">
        <v>582</v>
      </c>
      <c r="C104" s="20" t="s">
        <v>583</v>
      </c>
      <c r="D104" s="20" t="s">
        <v>282</v>
      </c>
      <c r="E104" s="20" t="s">
        <v>584</v>
      </c>
      <c r="F104" s="20" t="s">
        <v>253</v>
      </c>
      <c r="G104" s="25" t="s">
        <v>22</v>
      </c>
      <c r="H104" s="20" t="s">
        <v>329</v>
      </c>
      <c r="I104" s="20" t="s">
        <v>288</v>
      </c>
      <c r="J104" s="20" t="n">
        <f aca="false">IF($I104="Yes",IFERROR(INDEX('Buy List'!$A$2:$A$91,MATCH($F104,'Buy List'!$C$2:$C$91,0)),"-"),"-")</f>
        <v>85</v>
      </c>
      <c r="K104" s="24" t="s">
        <v>28</v>
      </c>
      <c r="L104" s="20" t="s">
        <v>585</v>
      </c>
    </row>
    <row r="105" customFormat="false" ht="26.85" hidden="false" customHeight="false" outlineLevel="0" collapsed="false">
      <c r="A105" s="20" t="n">
        <v>104</v>
      </c>
      <c r="B105" s="23" t="s">
        <v>582</v>
      </c>
      <c r="C105" s="20" t="s">
        <v>583</v>
      </c>
      <c r="D105" s="20" t="s">
        <v>286</v>
      </c>
      <c r="E105" s="20" t="s">
        <v>586</v>
      </c>
      <c r="F105" s="20" t="s">
        <v>251</v>
      </c>
      <c r="G105" s="25" t="s">
        <v>22</v>
      </c>
      <c r="H105" s="20" t="s">
        <v>329</v>
      </c>
      <c r="I105" s="20" t="s">
        <v>288</v>
      </c>
      <c r="J105" s="20" t="n">
        <f aca="false">IF($I105="Yes",IFERROR(INDEX('Buy List'!$A$2:$A$91,MATCH($F105,'Buy List'!$C$2:$C$91,0)),"-"),"-")</f>
        <v>84</v>
      </c>
      <c r="K105" s="24" t="s">
        <v>28</v>
      </c>
      <c r="L105" s="20" t="s">
        <v>585</v>
      </c>
    </row>
    <row r="106" customFormat="false" ht="26.85" hidden="false" customHeight="false" outlineLevel="0" collapsed="false">
      <c r="A106" s="20" t="n">
        <v>105</v>
      </c>
      <c r="B106" s="23" t="s">
        <v>582</v>
      </c>
      <c r="C106" s="20" t="s">
        <v>587</v>
      </c>
      <c r="D106" s="20" t="s">
        <v>291</v>
      </c>
      <c r="E106" s="20" t="s">
        <v>588</v>
      </c>
      <c r="F106" s="20" t="s">
        <v>261</v>
      </c>
      <c r="G106" s="25" t="s">
        <v>22</v>
      </c>
      <c r="H106" s="20" t="s">
        <v>329</v>
      </c>
      <c r="I106" s="20" t="s">
        <v>288</v>
      </c>
      <c r="J106" s="20" t="n">
        <f aca="false">IF($I106="Yes",IFERROR(INDEX('Buy List'!$A$2:$A$91,MATCH($F106,'Buy List'!$C$2:$C$91,0)),"-"),"-")</f>
        <v>89</v>
      </c>
      <c r="K106" s="24" t="s">
        <v>28</v>
      </c>
      <c r="L106" s="20" t="s">
        <v>585</v>
      </c>
    </row>
    <row r="107" customFormat="false" ht="39.55" hidden="false" customHeight="false" outlineLevel="0" collapsed="false">
      <c r="A107" s="20" t="n">
        <v>106</v>
      </c>
      <c r="B107" s="23" t="s">
        <v>582</v>
      </c>
      <c r="C107" s="20" t="s">
        <v>587</v>
      </c>
      <c r="D107" s="20" t="s">
        <v>295</v>
      </c>
      <c r="E107" s="20" t="s">
        <v>589</v>
      </c>
      <c r="F107" s="20" t="s">
        <v>77</v>
      </c>
      <c r="G107" s="24" t="s">
        <v>21</v>
      </c>
      <c r="H107" s="20"/>
      <c r="I107" s="20" t="s">
        <v>288</v>
      </c>
      <c r="J107" s="20" t="n">
        <f aca="false">IF($I107="Yes",IFERROR(INDEX('Buy List'!$A$2:$A$91,MATCH($F107,'Buy List'!$C$2:$C$91,0)),"-"),"-")</f>
        <v>8</v>
      </c>
      <c r="K107" s="19" t="s">
        <v>30</v>
      </c>
      <c r="L107" s="20" t="s">
        <v>590</v>
      </c>
    </row>
    <row r="108" customFormat="false" ht="26.85" hidden="false" customHeight="false" outlineLevel="0" collapsed="false">
      <c r="A108" s="20" t="n">
        <v>107</v>
      </c>
      <c r="B108" s="23" t="s">
        <v>582</v>
      </c>
      <c r="C108" s="20" t="s">
        <v>587</v>
      </c>
      <c r="D108" s="20" t="s">
        <v>299</v>
      </c>
      <c r="E108" s="20" t="s">
        <v>591</v>
      </c>
      <c r="F108" s="20" t="s">
        <v>255</v>
      </c>
      <c r="G108" s="25" t="s">
        <v>22</v>
      </c>
      <c r="H108" s="20" t="s">
        <v>329</v>
      </c>
      <c r="I108" s="20" t="s">
        <v>288</v>
      </c>
      <c r="J108" s="20" t="n">
        <f aca="false">IF($I108="Yes",IFERROR(INDEX('Buy List'!$A$2:$A$91,MATCH($F108,'Buy List'!$C$2:$C$91,0)),"-"),"-")</f>
        <v>86</v>
      </c>
      <c r="K108" s="24" t="s">
        <v>28</v>
      </c>
      <c r="L108" s="20" t="s">
        <v>585</v>
      </c>
    </row>
    <row r="109" customFormat="false" ht="26.85" hidden="false" customHeight="false" outlineLevel="0" collapsed="false">
      <c r="A109" s="20" t="n">
        <v>108</v>
      </c>
      <c r="B109" s="23" t="s">
        <v>582</v>
      </c>
      <c r="C109" s="20" t="s">
        <v>587</v>
      </c>
      <c r="D109" s="20" t="s">
        <v>303</v>
      </c>
      <c r="E109" s="20" t="s">
        <v>592</v>
      </c>
      <c r="F109" s="20" t="s">
        <v>259</v>
      </c>
      <c r="G109" s="25" t="s">
        <v>22</v>
      </c>
      <c r="H109" s="20" t="s">
        <v>329</v>
      </c>
      <c r="I109" s="20" t="s">
        <v>288</v>
      </c>
      <c r="J109" s="20" t="n">
        <f aca="false">IF($I109="Yes",IFERROR(INDEX('Buy List'!$A$2:$A$91,MATCH($F109,'Buy List'!$C$2:$C$91,0)),"-"),"-")</f>
        <v>88</v>
      </c>
      <c r="K109" s="24" t="s">
        <v>28</v>
      </c>
      <c r="L109" s="20" t="s">
        <v>585</v>
      </c>
    </row>
    <row r="110" customFormat="false" ht="26.85" hidden="false" customHeight="false" outlineLevel="0" collapsed="false">
      <c r="A110" s="20" t="n">
        <v>109</v>
      </c>
      <c r="B110" s="23" t="s">
        <v>582</v>
      </c>
      <c r="C110" s="20" t="s">
        <v>593</v>
      </c>
      <c r="D110" s="20" t="s">
        <v>307</v>
      </c>
      <c r="E110" s="20" t="s">
        <v>594</v>
      </c>
      <c r="F110" s="20" t="s">
        <v>249</v>
      </c>
      <c r="G110" s="25" t="s">
        <v>22</v>
      </c>
      <c r="H110" s="20" t="s">
        <v>329</v>
      </c>
      <c r="I110" s="20" t="s">
        <v>288</v>
      </c>
      <c r="J110" s="20" t="n">
        <f aca="false">IF($I110="Yes",IFERROR(INDEX('Buy List'!$A$2:$A$91,MATCH($F110,'Buy List'!$C$2:$C$91,0)),"-"),"-")</f>
        <v>83</v>
      </c>
      <c r="K110" s="24" t="s">
        <v>28</v>
      </c>
      <c r="L110" s="20" t="s">
        <v>585</v>
      </c>
    </row>
    <row r="111" customFormat="false" ht="26.85" hidden="false" customHeight="false" outlineLevel="0" collapsed="false">
      <c r="A111" s="20" t="n">
        <v>110</v>
      </c>
      <c r="B111" s="23" t="s">
        <v>582</v>
      </c>
      <c r="C111" s="20" t="s">
        <v>593</v>
      </c>
      <c r="D111" s="20" t="s">
        <v>311</v>
      </c>
      <c r="E111" s="20" t="s">
        <v>595</v>
      </c>
      <c r="F111" s="20" t="s">
        <v>247</v>
      </c>
      <c r="G111" s="25" t="s">
        <v>22</v>
      </c>
      <c r="H111" s="20" t="s">
        <v>329</v>
      </c>
      <c r="I111" s="20" t="s">
        <v>288</v>
      </c>
      <c r="J111" s="20" t="n">
        <f aca="false">IF($I111="Yes",IFERROR(INDEX('Buy List'!$A$2:$A$91,MATCH($F111,'Buy List'!$C$2:$C$91,0)),"-"),"-")</f>
        <v>82</v>
      </c>
      <c r="K111" s="24" t="s">
        <v>28</v>
      </c>
      <c r="L111" s="20" t="s">
        <v>585</v>
      </c>
    </row>
    <row r="112" customFormat="false" ht="26.85" hidden="false" customHeight="false" outlineLevel="0" collapsed="false">
      <c r="A112" s="20" t="n">
        <v>111</v>
      </c>
      <c r="B112" s="23" t="s">
        <v>582</v>
      </c>
      <c r="C112" s="20" t="s">
        <v>596</v>
      </c>
      <c r="D112" s="20" t="s">
        <v>314</v>
      </c>
      <c r="E112" s="20" t="s">
        <v>597</v>
      </c>
      <c r="F112" s="20" t="s">
        <v>245</v>
      </c>
      <c r="G112" s="25" t="s">
        <v>22</v>
      </c>
      <c r="H112" s="20" t="s">
        <v>329</v>
      </c>
      <c r="I112" s="20" t="s">
        <v>288</v>
      </c>
      <c r="J112" s="20" t="n">
        <f aca="false">IF($I112="Yes",IFERROR(INDEX('Buy List'!$A$2:$A$91,MATCH($F112,'Buy List'!$C$2:$C$91,0)),"-"),"-")</f>
        <v>81</v>
      </c>
      <c r="K112" s="24" t="s">
        <v>28</v>
      </c>
      <c r="L112" s="20" t="s">
        <v>598</v>
      </c>
    </row>
    <row r="113" customFormat="false" ht="26.85" hidden="false" customHeight="false" outlineLevel="0" collapsed="false">
      <c r="A113" s="20" t="n">
        <v>112</v>
      </c>
      <c r="B113" s="23" t="s">
        <v>582</v>
      </c>
      <c r="C113" s="20" t="s">
        <v>596</v>
      </c>
      <c r="D113" s="20" t="s">
        <v>318</v>
      </c>
      <c r="E113" s="20" t="s">
        <v>599</v>
      </c>
      <c r="F113" s="20" t="s">
        <v>257</v>
      </c>
      <c r="G113" s="25" t="s">
        <v>22</v>
      </c>
      <c r="H113" s="20" t="s">
        <v>329</v>
      </c>
      <c r="I113" s="20" t="s">
        <v>288</v>
      </c>
      <c r="J113" s="20" t="n">
        <f aca="false">IF($I113="Yes",IFERROR(INDEX('Buy List'!$A$2:$A$91,MATCH($F113,'Buy List'!$C$2:$C$91,0)),"-"),"-")</f>
        <v>87</v>
      </c>
      <c r="K113" s="24" t="s">
        <v>28</v>
      </c>
      <c r="L113" s="20" t="s">
        <v>585</v>
      </c>
    </row>
    <row r="114" customFormat="false" ht="26.85" hidden="false" customHeight="false" outlineLevel="0" collapsed="false">
      <c r="A114" s="20" t="n">
        <v>113</v>
      </c>
      <c r="B114" s="23" t="s">
        <v>600</v>
      </c>
      <c r="C114" s="20" t="s">
        <v>601</v>
      </c>
      <c r="D114" s="20" t="s">
        <v>276</v>
      </c>
      <c r="E114" s="20" t="s">
        <v>602</v>
      </c>
      <c r="F114" s="20" t="s">
        <v>603</v>
      </c>
      <c r="G114" s="28" t="s">
        <v>24</v>
      </c>
      <c r="H114" s="20" t="s">
        <v>604</v>
      </c>
      <c r="I114" s="20" t="s">
        <v>279</v>
      </c>
      <c r="J114" s="20" t="str">
        <f aca="false">IF($I114="Yes",IFERROR(INDEX('Buy List'!$A$2:$A$91,MATCH($F114,'Buy List'!$C$2:$C$91,0)),"-"),"-")</f>
        <v>-</v>
      </c>
      <c r="K114" s="26" t="s">
        <v>29</v>
      </c>
      <c r="L114" s="20" t="s">
        <v>605</v>
      </c>
    </row>
    <row r="115" customFormat="false" ht="26.85" hidden="false" customHeight="false" outlineLevel="0" collapsed="false">
      <c r="A115" s="20" t="n">
        <v>114</v>
      </c>
      <c r="B115" s="23" t="s">
        <v>600</v>
      </c>
      <c r="C115" s="20" t="s">
        <v>601</v>
      </c>
      <c r="D115" s="20" t="s">
        <v>282</v>
      </c>
      <c r="E115" s="20" t="s">
        <v>606</v>
      </c>
      <c r="F115" s="20" t="s">
        <v>607</v>
      </c>
      <c r="G115" s="28" t="s">
        <v>24</v>
      </c>
      <c r="H115" s="20" t="s">
        <v>604</v>
      </c>
      <c r="I115" s="20" t="s">
        <v>279</v>
      </c>
      <c r="J115" s="20" t="str">
        <f aca="false">IF($I115="Yes",IFERROR(INDEX('Buy List'!$A$2:$A$91,MATCH($F115,'Buy List'!$C$2:$C$91,0)),"-"),"-")</f>
        <v>-</v>
      </c>
      <c r="K115" s="26" t="s">
        <v>29</v>
      </c>
      <c r="L115" s="20" t="s">
        <v>608</v>
      </c>
    </row>
    <row r="116" customFormat="false" ht="26.85" hidden="false" customHeight="false" outlineLevel="0" collapsed="false">
      <c r="A116" s="20" t="n">
        <v>115</v>
      </c>
      <c r="B116" s="23" t="s">
        <v>600</v>
      </c>
      <c r="C116" s="20" t="s">
        <v>601</v>
      </c>
      <c r="D116" s="20" t="s">
        <v>286</v>
      </c>
      <c r="E116" s="20" t="s">
        <v>609</v>
      </c>
      <c r="F116" s="20" t="s">
        <v>610</v>
      </c>
      <c r="G116" s="28" t="s">
        <v>24</v>
      </c>
      <c r="H116" s="20" t="s">
        <v>604</v>
      </c>
      <c r="I116" s="20" t="s">
        <v>279</v>
      </c>
      <c r="J116" s="20" t="str">
        <f aca="false">IF($I116="Yes",IFERROR(INDEX('Buy List'!$A$2:$A$91,MATCH($F116,'Buy List'!$C$2:$C$91,0)),"-"),"-")</f>
        <v>-</v>
      </c>
      <c r="K116" s="24" t="s">
        <v>28</v>
      </c>
      <c r="L116" s="20" t="s">
        <v>378</v>
      </c>
    </row>
    <row r="117" customFormat="false" ht="26.85" hidden="false" customHeight="false" outlineLevel="0" collapsed="false">
      <c r="A117" s="20" t="n">
        <v>116</v>
      </c>
      <c r="B117" s="23" t="s">
        <v>600</v>
      </c>
      <c r="C117" s="20" t="s">
        <v>611</v>
      </c>
      <c r="D117" s="20" t="s">
        <v>291</v>
      </c>
      <c r="E117" s="20" t="s">
        <v>612</v>
      </c>
      <c r="F117" s="20" t="s">
        <v>613</v>
      </c>
      <c r="G117" s="28" t="s">
        <v>24</v>
      </c>
      <c r="H117" s="20" t="s">
        <v>604</v>
      </c>
      <c r="I117" s="20" t="s">
        <v>279</v>
      </c>
      <c r="J117" s="20" t="str">
        <f aca="false">IF($I117="Yes",IFERROR(INDEX('Buy List'!$A$2:$A$91,MATCH($F117,'Buy List'!$C$2:$C$91,0)),"-"),"-")</f>
        <v>-</v>
      </c>
      <c r="K117" s="24" t="s">
        <v>28</v>
      </c>
      <c r="L117" s="20" t="s">
        <v>378</v>
      </c>
    </row>
    <row r="118" customFormat="false" ht="26.85" hidden="false" customHeight="false" outlineLevel="0" collapsed="false">
      <c r="A118" s="20" t="n">
        <v>117</v>
      </c>
      <c r="B118" s="23" t="s">
        <v>600</v>
      </c>
      <c r="C118" s="20" t="s">
        <v>611</v>
      </c>
      <c r="D118" s="20" t="s">
        <v>295</v>
      </c>
      <c r="E118" s="20" t="s">
        <v>614</v>
      </c>
      <c r="F118" s="20" t="s">
        <v>615</v>
      </c>
      <c r="G118" s="28" t="s">
        <v>24</v>
      </c>
      <c r="H118" s="20" t="s">
        <v>604</v>
      </c>
      <c r="I118" s="20" t="s">
        <v>279</v>
      </c>
      <c r="J118" s="20" t="str">
        <f aca="false">IF($I118="Yes",IFERROR(INDEX('Buy List'!$A$2:$A$91,MATCH($F118,'Buy List'!$C$2:$C$91,0)),"-"),"-")</f>
        <v>-</v>
      </c>
      <c r="K118" s="24" t="s">
        <v>28</v>
      </c>
      <c r="L118" s="20" t="s">
        <v>378</v>
      </c>
    </row>
    <row r="119" customFormat="false" ht="26.85" hidden="false" customHeight="false" outlineLevel="0" collapsed="false">
      <c r="A119" s="20" t="n">
        <v>118</v>
      </c>
      <c r="B119" s="23" t="s">
        <v>600</v>
      </c>
      <c r="C119" s="20" t="s">
        <v>611</v>
      </c>
      <c r="D119" s="20" t="s">
        <v>299</v>
      </c>
      <c r="E119" s="20" t="s">
        <v>616</v>
      </c>
      <c r="F119" s="20" t="s">
        <v>617</v>
      </c>
      <c r="G119" s="28" t="s">
        <v>24</v>
      </c>
      <c r="H119" s="20" t="s">
        <v>604</v>
      </c>
      <c r="I119" s="20" t="s">
        <v>279</v>
      </c>
      <c r="J119" s="20" t="str">
        <f aca="false">IF($I119="Yes",IFERROR(INDEX('Buy List'!$A$2:$A$91,MATCH($F119,'Buy List'!$C$2:$C$91,0)),"-"),"-")</f>
        <v>-</v>
      </c>
      <c r="K119" s="24" t="s">
        <v>28</v>
      </c>
      <c r="L119" s="20" t="s">
        <v>378</v>
      </c>
    </row>
    <row r="120" customFormat="false" ht="26.85" hidden="false" customHeight="false" outlineLevel="0" collapsed="false">
      <c r="A120" s="20" t="n">
        <v>119</v>
      </c>
      <c r="B120" s="23" t="s">
        <v>600</v>
      </c>
      <c r="C120" s="20" t="s">
        <v>611</v>
      </c>
      <c r="D120" s="20" t="s">
        <v>303</v>
      </c>
      <c r="E120" s="20" t="s">
        <v>618</v>
      </c>
      <c r="F120" s="20" t="s">
        <v>619</v>
      </c>
      <c r="G120" s="28" t="s">
        <v>24</v>
      </c>
      <c r="H120" s="20" t="s">
        <v>604</v>
      </c>
      <c r="I120" s="20" t="s">
        <v>279</v>
      </c>
      <c r="J120" s="20" t="str">
        <f aca="false">IF($I120="Yes",IFERROR(INDEX('Buy List'!$A$2:$A$91,MATCH($F120,'Buy List'!$C$2:$C$91,0)),"-"),"-")</f>
        <v>-</v>
      </c>
      <c r="K120" s="24" t="s">
        <v>28</v>
      </c>
      <c r="L120" s="20" t="s">
        <v>378</v>
      </c>
    </row>
    <row r="121" customFormat="false" ht="26.85" hidden="false" customHeight="false" outlineLevel="0" collapsed="false">
      <c r="A121" s="20" t="n">
        <v>120</v>
      </c>
      <c r="B121" s="23" t="s">
        <v>600</v>
      </c>
      <c r="C121" s="20" t="s">
        <v>620</v>
      </c>
      <c r="D121" s="20" t="s">
        <v>307</v>
      </c>
      <c r="E121" s="20" t="s">
        <v>621</v>
      </c>
      <c r="F121" s="20" t="s">
        <v>622</v>
      </c>
      <c r="G121" s="28" t="s">
        <v>24</v>
      </c>
      <c r="H121" s="20" t="s">
        <v>604</v>
      </c>
      <c r="I121" s="20" t="s">
        <v>279</v>
      </c>
      <c r="J121" s="20" t="str">
        <f aca="false">IF($I121="Yes",IFERROR(INDEX('Buy List'!$A$2:$A$91,MATCH($F121,'Buy List'!$C$2:$C$91,0)),"-"),"-")</f>
        <v>-</v>
      </c>
      <c r="K121" s="24" t="s">
        <v>28</v>
      </c>
      <c r="L121" s="20" t="s">
        <v>378</v>
      </c>
    </row>
    <row r="122" customFormat="false" ht="26.85" hidden="false" customHeight="false" outlineLevel="0" collapsed="false">
      <c r="A122" s="20" t="n">
        <v>121</v>
      </c>
      <c r="B122" s="23" t="s">
        <v>600</v>
      </c>
      <c r="C122" s="20" t="s">
        <v>620</v>
      </c>
      <c r="D122" s="20" t="s">
        <v>311</v>
      </c>
      <c r="E122" s="20" t="s">
        <v>623</v>
      </c>
      <c r="F122" s="20" t="s">
        <v>624</v>
      </c>
      <c r="G122" s="28" t="s">
        <v>24</v>
      </c>
      <c r="H122" s="20" t="s">
        <v>604</v>
      </c>
      <c r="I122" s="20" t="s">
        <v>279</v>
      </c>
      <c r="J122" s="20" t="str">
        <f aca="false">IF($I122="Yes",IFERROR(INDEX('Buy List'!$A$2:$A$91,MATCH($F122,'Buy List'!$C$2:$C$91,0)),"-"),"-")</f>
        <v>-</v>
      </c>
      <c r="K122" s="26" t="s">
        <v>29</v>
      </c>
      <c r="L122" s="20" t="s">
        <v>625</v>
      </c>
    </row>
    <row r="123" customFormat="false" ht="26.85" hidden="false" customHeight="false" outlineLevel="0" collapsed="false">
      <c r="A123" s="20" t="n">
        <v>122</v>
      </c>
      <c r="B123" s="23" t="s">
        <v>600</v>
      </c>
      <c r="C123" s="20" t="s">
        <v>620</v>
      </c>
      <c r="D123" s="20" t="s">
        <v>314</v>
      </c>
      <c r="E123" s="20" t="s">
        <v>626</v>
      </c>
      <c r="F123" s="20" t="s">
        <v>627</v>
      </c>
      <c r="G123" s="28" t="s">
        <v>24</v>
      </c>
      <c r="H123" s="20" t="s">
        <v>604</v>
      </c>
      <c r="I123" s="20" t="s">
        <v>279</v>
      </c>
      <c r="J123" s="20" t="str">
        <f aca="false">IF($I123="Yes",IFERROR(INDEX('Buy List'!$A$2:$A$91,MATCH($F123,'Buy List'!$C$2:$C$91,0)),"-"),"-")</f>
        <v>-</v>
      </c>
      <c r="K123" s="24" t="s">
        <v>28</v>
      </c>
      <c r="L123" s="20" t="s">
        <v>378</v>
      </c>
    </row>
    <row r="124" customFormat="false" ht="26.85" hidden="false" customHeight="false" outlineLevel="0" collapsed="false">
      <c r="A124" s="20" t="n">
        <v>123</v>
      </c>
      <c r="B124" s="23" t="s">
        <v>628</v>
      </c>
      <c r="C124" s="20" t="s">
        <v>629</v>
      </c>
      <c r="D124" s="20" t="s">
        <v>286</v>
      </c>
      <c r="E124" s="20" t="s">
        <v>630</v>
      </c>
      <c r="F124" s="20" t="s">
        <v>631</v>
      </c>
      <c r="G124" s="28" t="s">
        <v>24</v>
      </c>
      <c r="H124" s="20" t="s">
        <v>632</v>
      </c>
      <c r="I124" s="20" t="s">
        <v>279</v>
      </c>
      <c r="J124" s="20" t="str">
        <f aca="false">IF($I124="Yes",IFERROR(INDEX('Buy List'!$A$2:$A$91,MATCH($F124,'Buy List'!$C$2:$C$91,0)),"-"),"-")</f>
        <v>-</v>
      </c>
      <c r="K124" s="26" t="s">
        <v>29</v>
      </c>
      <c r="L124" s="20" t="s">
        <v>633</v>
      </c>
    </row>
    <row r="125" customFormat="false" ht="26.85" hidden="false" customHeight="false" outlineLevel="0" collapsed="false">
      <c r="A125" s="20" t="n">
        <v>124</v>
      </c>
      <c r="B125" s="23" t="s">
        <v>628</v>
      </c>
      <c r="C125" s="20" t="s">
        <v>634</v>
      </c>
      <c r="D125" s="20" t="s">
        <v>291</v>
      </c>
      <c r="E125" s="20" t="s">
        <v>635</v>
      </c>
      <c r="F125" s="20" t="s">
        <v>80</v>
      </c>
      <c r="G125" s="25" t="s">
        <v>22</v>
      </c>
      <c r="H125" s="20" t="s">
        <v>636</v>
      </c>
      <c r="I125" s="20" t="s">
        <v>288</v>
      </c>
      <c r="J125" s="20" t="n">
        <f aca="false">IF($I125="Yes",IFERROR(INDEX('Buy List'!$A$2:$A$91,MATCH($F125,'Buy List'!$C$2:$C$91,0)),"-"),"-")</f>
        <v>9</v>
      </c>
      <c r="K125" s="19" t="s">
        <v>30</v>
      </c>
      <c r="L125" s="20" t="s">
        <v>637</v>
      </c>
    </row>
    <row r="126" customFormat="false" ht="26.85" hidden="false" customHeight="false" outlineLevel="0" collapsed="false">
      <c r="A126" s="20" t="n">
        <v>125</v>
      </c>
      <c r="B126" s="23" t="s">
        <v>628</v>
      </c>
      <c r="C126" s="20" t="s">
        <v>634</v>
      </c>
      <c r="D126" s="20" t="s">
        <v>295</v>
      </c>
      <c r="E126" s="20" t="s">
        <v>638</v>
      </c>
      <c r="F126" s="20" t="s">
        <v>263</v>
      </c>
      <c r="G126" s="25" t="s">
        <v>22</v>
      </c>
      <c r="H126" s="20" t="s">
        <v>639</v>
      </c>
      <c r="I126" s="20" t="s">
        <v>288</v>
      </c>
      <c r="J126" s="20" t="n">
        <f aca="false">IF($I126="Yes",IFERROR(INDEX('Buy List'!$A$2:$A$91,MATCH($F126,'Buy List'!$C$2:$C$91,0)),"-"),"-")</f>
        <v>90</v>
      </c>
      <c r="K126" s="24" t="s">
        <v>28</v>
      </c>
      <c r="L126" s="20" t="s">
        <v>640</v>
      </c>
    </row>
    <row r="127" customFormat="false" ht="26.85" hidden="false" customHeight="false" outlineLevel="0" collapsed="false">
      <c r="A127" s="20" t="n">
        <v>126</v>
      </c>
      <c r="B127" s="23" t="s">
        <v>628</v>
      </c>
      <c r="C127" s="20" t="s">
        <v>634</v>
      </c>
      <c r="D127" s="20" t="s">
        <v>299</v>
      </c>
      <c r="E127" s="20" t="s">
        <v>641</v>
      </c>
      <c r="F127" s="20" t="s">
        <v>642</v>
      </c>
      <c r="G127" s="28" t="s">
        <v>24</v>
      </c>
      <c r="H127" s="20" t="s">
        <v>632</v>
      </c>
      <c r="I127" s="20" t="s">
        <v>279</v>
      </c>
      <c r="J127" s="20" t="str">
        <f aca="false">IF($I127="Yes",IFERROR(INDEX('Buy List'!$A$2:$A$91,MATCH($F127,'Buy List'!$C$2:$C$91,0)),"-"),"-")</f>
        <v>-</v>
      </c>
      <c r="K127" s="26" t="s">
        <v>29</v>
      </c>
      <c r="L127" s="20" t="s">
        <v>643</v>
      </c>
    </row>
    <row r="128" customFormat="false" ht="26.85" hidden="false" customHeight="false" outlineLevel="0" collapsed="false">
      <c r="A128" s="20" t="n">
        <v>127</v>
      </c>
      <c r="B128" s="23" t="s">
        <v>628</v>
      </c>
      <c r="C128" s="20" t="s">
        <v>644</v>
      </c>
      <c r="D128" s="20" t="s">
        <v>303</v>
      </c>
      <c r="E128" s="20" t="s">
        <v>645</v>
      </c>
      <c r="F128" s="20" t="s">
        <v>627</v>
      </c>
      <c r="G128" s="28" t="s">
        <v>24</v>
      </c>
      <c r="H128" s="20" t="s">
        <v>632</v>
      </c>
      <c r="I128" s="20" t="s">
        <v>279</v>
      </c>
      <c r="J128" s="20" t="str">
        <f aca="false">IF($I128="Yes",IFERROR(INDEX('Buy List'!$A$2:$A$91,MATCH($F128,'Buy List'!$C$2:$C$91,0)),"-"),"-")</f>
        <v>-</v>
      </c>
      <c r="K128" s="24" t="s">
        <v>28</v>
      </c>
      <c r="L128" s="20" t="s">
        <v>646</v>
      </c>
    </row>
    <row r="129" customFormat="false" ht="26.85" hidden="false" customHeight="false" outlineLevel="0" collapsed="false">
      <c r="A129" s="20" t="n">
        <v>128</v>
      </c>
      <c r="B129" s="23" t="s">
        <v>647</v>
      </c>
      <c r="C129" s="20" t="s">
        <v>648</v>
      </c>
      <c r="D129" s="20" t="s">
        <v>276</v>
      </c>
      <c r="E129" s="20" t="s">
        <v>649</v>
      </c>
      <c r="F129" s="20" t="s">
        <v>218</v>
      </c>
      <c r="G129" s="28" t="s">
        <v>24</v>
      </c>
      <c r="H129" s="20" t="s">
        <v>632</v>
      </c>
      <c r="I129" s="20" t="s">
        <v>279</v>
      </c>
      <c r="J129" s="20" t="str">
        <f aca="false">IF($I129="Yes",IFERROR(INDEX('Buy List'!$A$2:$A$91,MATCH($F129,'Buy List'!$C$2:$C$91,0)),"-"),"-")</f>
        <v>-</v>
      </c>
      <c r="K129" s="24" t="s">
        <v>28</v>
      </c>
      <c r="L129" s="20" t="s">
        <v>650</v>
      </c>
    </row>
    <row r="130" customFormat="false" ht="26.85" hidden="false" customHeight="false" outlineLevel="0" collapsed="false">
      <c r="A130" s="20" t="n">
        <v>129</v>
      </c>
      <c r="B130" s="23" t="s">
        <v>651</v>
      </c>
      <c r="C130" s="20" t="s">
        <v>652</v>
      </c>
      <c r="D130" s="20" t="s">
        <v>276</v>
      </c>
      <c r="E130" s="20" t="s">
        <v>653</v>
      </c>
      <c r="F130" s="20" t="s">
        <v>56</v>
      </c>
      <c r="G130" s="24" t="s">
        <v>21</v>
      </c>
      <c r="H130" s="20"/>
      <c r="I130" s="20" t="s">
        <v>288</v>
      </c>
      <c r="J130" s="20" t="n">
        <f aca="false">IF($I130="Yes",IFERROR(INDEX('Buy List'!$A$2:$A$91,MATCH($F130,'Buy List'!$C$2:$C$91,0)),"-"),"-")</f>
        <v>1</v>
      </c>
      <c r="K130" s="19" t="s">
        <v>30</v>
      </c>
      <c r="L130" s="20" t="s">
        <v>654</v>
      </c>
    </row>
    <row r="131" customFormat="false" ht="26.85" hidden="false" customHeight="false" outlineLevel="0" collapsed="false">
      <c r="A131" s="20" t="n">
        <v>130</v>
      </c>
      <c r="B131" s="23" t="s">
        <v>655</v>
      </c>
      <c r="C131" s="20" t="s">
        <v>656</v>
      </c>
      <c r="D131" s="20" t="s">
        <v>276</v>
      </c>
      <c r="E131" s="20" t="s">
        <v>657</v>
      </c>
      <c r="F131" s="20" t="s">
        <v>658</v>
      </c>
      <c r="G131" s="28" t="s">
        <v>24</v>
      </c>
      <c r="H131" s="20" t="s">
        <v>632</v>
      </c>
      <c r="I131" s="20" t="s">
        <v>279</v>
      </c>
      <c r="J131" s="20" t="str">
        <f aca="false">IF($I131="Yes",IFERROR(INDEX('Buy List'!$A$2:$A$91,MATCH($F131,'Buy List'!$C$2:$C$91,0)),"-"),"-")</f>
        <v>-</v>
      </c>
      <c r="K131" s="24" t="s">
        <v>28</v>
      </c>
      <c r="L131" s="20" t="s">
        <v>659</v>
      </c>
    </row>
    <row r="132" customFormat="false" ht="26.85" hidden="false" customHeight="false" outlineLevel="0" collapsed="false">
      <c r="A132" s="20" t="n">
        <v>131</v>
      </c>
      <c r="B132" s="23" t="s">
        <v>660</v>
      </c>
      <c r="C132" s="20" t="s">
        <v>661</v>
      </c>
      <c r="D132" s="20" t="s">
        <v>282</v>
      </c>
      <c r="E132" s="20" t="s">
        <v>662</v>
      </c>
      <c r="F132" s="20" t="s">
        <v>216</v>
      </c>
      <c r="G132" s="28" t="s">
        <v>24</v>
      </c>
      <c r="H132" s="20" t="s">
        <v>632</v>
      </c>
      <c r="I132" s="20" t="s">
        <v>279</v>
      </c>
      <c r="J132" s="20" t="str">
        <f aca="false">IF($I132="Yes",IFERROR(INDEX('Buy List'!$A$2:$A$91,MATCH($F132,'Buy List'!$C$2:$C$91,0)),"-"),"-")</f>
        <v>-</v>
      </c>
      <c r="K132" s="24" t="s">
        <v>28</v>
      </c>
      <c r="L132" s="20" t="s">
        <v>663</v>
      </c>
    </row>
    <row r="133" customFormat="false" ht="26.85" hidden="false" customHeight="false" outlineLevel="0" collapsed="false">
      <c r="A133" s="20" t="n">
        <v>132</v>
      </c>
      <c r="B133" s="23" t="s">
        <v>664</v>
      </c>
      <c r="C133" s="20" t="s">
        <v>665</v>
      </c>
      <c r="D133" s="20" t="s">
        <v>276</v>
      </c>
      <c r="E133" s="20" t="s">
        <v>666</v>
      </c>
      <c r="F133" s="20" t="s">
        <v>667</v>
      </c>
      <c r="G133" s="28" t="s">
        <v>24</v>
      </c>
      <c r="H133" s="20" t="s">
        <v>632</v>
      </c>
      <c r="I133" s="20" t="s">
        <v>279</v>
      </c>
      <c r="J133" s="20" t="str">
        <f aca="false">IF($I133="Yes",IFERROR(INDEX('Buy List'!$A$2:$A$91,MATCH($F133,'Buy List'!$C$2:$C$91,0)),"-"),"-")</f>
        <v>-</v>
      </c>
      <c r="K133" s="26" t="s">
        <v>29</v>
      </c>
      <c r="L133" s="20" t="s">
        <v>668</v>
      </c>
    </row>
    <row r="134" customFormat="false" ht="26.85" hidden="false" customHeight="false" outlineLevel="0" collapsed="false">
      <c r="A134" s="20" t="n">
        <v>133</v>
      </c>
      <c r="B134" s="23" t="s">
        <v>669</v>
      </c>
      <c r="C134" s="20" t="s">
        <v>670</v>
      </c>
      <c r="D134" s="20" t="s">
        <v>276</v>
      </c>
      <c r="E134" s="20" t="s">
        <v>671</v>
      </c>
      <c r="F134" s="20" t="s">
        <v>672</v>
      </c>
      <c r="G134" s="28" t="s">
        <v>25</v>
      </c>
      <c r="H134" s="20" t="s">
        <v>673</v>
      </c>
      <c r="I134" s="20" t="s">
        <v>279</v>
      </c>
      <c r="J134" s="20" t="str">
        <f aca="false">IF($I134="Yes",IFERROR(INDEX('Buy List'!$A$2:$A$91,MATCH($F134,'Buy List'!$C$2:$C$91,0)),"-"),"-")</f>
        <v>-</v>
      </c>
      <c r="K134" s="24" t="s">
        <v>28</v>
      </c>
      <c r="L134" s="20" t="s">
        <v>674</v>
      </c>
    </row>
    <row r="135" customFormat="false" ht="26.85" hidden="false" customHeight="false" outlineLevel="0" collapsed="false">
      <c r="A135" s="20" t="n">
        <v>134</v>
      </c>
      <c r="B135" s="23" t="s">
        <v>669</v>
      </c>
      <c r="C135" s="20" t="s">
        <v>675</v>
      </c>
      <c r="D135" s="20" t="s">
        <v>282</v>
      </c>
      <c r="E135" s="20" t="s">
        <v>676</v>
      </c>
      <c r="F135" s="20" t="s">
        <v>677</v>
      </c>
      <c r="G135" s="28" t="s">
        <v>25</v>
      </c>
      <c r="H135" s="20" t="s">
        <v>673</v>
      </c>
      <c r="I135" s="20" t="s">
        <v>279</v>
      </c>
      <c r="J135" s="20" t="str">
        <f aca="false">IF($I135="Yes",IFERROR(INDEX('Buy List'!$A$2:$A$91,MATCH($F135,'Buy List'!$C$2:$C$91,0)),"-"),"-")</f>
        <v>-</v>
      </c>
      <c r="K135" s="24" t="s">
        <v>28</v>
      </c>
      <c r="L135" s="20" t="s">
        <v>678</v>
      </c>
    </row>
    <row r="136" customFormat="false" ht="26.85" hidden="false" customHeight="false" outlineLevel="0" collapsed="false">
      <c r="A136" s="20" t="n">
        <v>135</v>
      </c>
      <c r="B136" s="23" t="s">
        <v>679</v>
      </c>
      <c r="C136" s="20" t="s">
        <v>680</v>
      </c>
      <c r="D136" s="20" t="s">
        <v>276</v>
      </c>
      <c r="E136" s="20" t="s">
        <v>681</v>
      </c>
      <c r="F136" s="20" t="s">
        <v>682</v>
      </c>
      <c r="G136" s="28" t="s">
        <v>25</v>
      </c>
      <c r="H136" s="20" t="s">
        <v>683</v>
      </c>
      <c r="I136" s="20" t="s">
        <v>279</v>
      </c>
      <c r="J136" s="20" t="str">
        <f aca="false">IF($I136="Yes",IFERROR(INDEX('Buy List'!$A$2:$A$91,MATCH($F136,'Buy List'!$C$2:$C$91,0)),"-"),"-")</f>
        <v>-</v>
      </c>
      <c r="K136" s="24" t="s">
        <v>28</v>
      </c>
      <c r="L136" s="20" t="s">
        <v>684</v>
      </c>
    </row>
    <row r="137" customFormat="false" ht="26.85" hidden="false" customHeight="false" outlineLevel="0" collapsed="false">
      <c r="A137" s="20" t="n">
        <v>136</v>
      </c>
      <c r="B137" s="23" t="s">
        <v>679</v>
      </c>
      <c r="C137" s="20" t="s">
        <v>685</v>
      </c>
      <c r="D137" s="20" t="s">
        <v>282</v>
      </c>
      <c r="E137" s="20" t="s">
        <v>686</v>
      </c>
      <c r="F137" s="20" t="s">
        <v>687</v>
      </c>
      <c r="G137" s="28" t="s">
        <v>25</v>
      </c>
      <c r="H137" s="20" t="s">
        <v>683</v>
      </c>
      <c r="I137" s="20" t="s">
        <v>279</v>
      </c>
      <c r="J137" s="20" t="str">
        <f aca="false">IF($I137="Yes",IFERROR(INDEX('Buy List'!$A$2:$A$91,MATCH($F137,'Buy List'!$C$2:$C$91,0)),"-"),"-")</f>
        <v>-</v>
      </c>
      <c r="K137" s="24" t="s">
        <v>28</v>
      </c>
      <c r="L137" s="20" t="s">
        <v>684</v>
      </c>
    </row>
    <row r="138" customFormat="false" ht="26.85" hidden="false" customHeight="false" outlineLevel="0" collapsed="false">
      <c r="A138" s="20" t="n">
        <v>137</v>
      </c>
      <c r="B138" s="23" t="s">
        <v>688</v>
      </c>
      <c r="C138" s="20" t="s">
        <v>689</v>
      </c>
      <c r="D138" s="20" t="s">
        <v>276</v>
      </c>
      <c r="E138" s="20" t="s">
        <v>690</v>
      </c>
      <c r="F138" s="20" t="s">
        <v>83</v>
      </c>
      <c r="G138" s="25" t="s">
        <v>22</v>
      </c>
      <c r="H138" s="20" t="s">
        <v>691</v>
      </c>
      <c r="I138" s="20" t="s">
        <v>288</v>
      </c>
      <c r="J138" s="20" t="n">
        <f aca="false">IF($I138="Yes",IFERROR(INDEX('Buy List'!$A$2:$A$91,MATCH($F138,'Buy List'!$C$2:$C$91,0)),"-"),"-")</f>
        <v>10</v>
      </c>
      <c r="K138" s="19" t="s">
        <v>30</v>
      </c>
      <c r="L138" s="20" t="s">
        <v>692</v>
      </c>
    </row>
    <row r="139" customFormat="false" ht="26.85" hidden="false" customHeight="false" outlineLevel="0" collapsed="false">
      <c r="A139" s="20" t="n">
        <v>138</v>
      </c>
      <c r="B139" s="23" t="s">
        <v>688</v>
      </c>
      <c r="C139" s="20" t="s">
        <v>689</v>
      </c>
      <c r="D139" s="20" t="s">
        <v>355</v>
      </c>
      <c r="E139" s="20" t="s">
        <v>356</v>
      </c>
      <c r="F139" s="20" t="s">
        <v>216</v>
      </c>
      <c r="G139" s="25" t="s">
        <v>22</v>
      </c>
      <c r="H139" s="20" t="s">
        <v>693</v>
      </c>
      <c r="I139" s="20" t="s">
        <v>288</v>
      </c>
      <c r="J139" s="20" t="n">
        <f aca="false">IF($I139="Yes",IFERROR(INDEX('Buy List'!$A$2:$A$91,MATCH($F139,'Buy List'!$C$2:$C$91,0)),"-"),"-")</f>
        <v>67</v>
      </c>
      <c r="K139" s="29" t="s">
        <v>358</v>
      </c>
      <c r="L139" s="20" t="s">
        <v>359</v>
      </c>
    </row>
    <row r="140" customFormat="false" ht="26.85" hidden="false" customHeight="false" outlineLevel="0" collapsed="false">
      <c r="A140" s="20" t="n">
        <v>139</v>
      </c>
      <c r="B140" s="23" t="s">
        <v>694</v>
      </c>
      <c r="C140" s="20" t="s">
        <v>218</v>
      </c>
      <c r="D140" s="20" t="s">
        <v>355</v>
      </c>
      <c r="E140" s="20" t="s">
        <v>356</v>
      </c>
      <c r="F140" s="20" t="s">
        <v>218</v>
      </c>
      <c r="G140" s="26" t="s">
        <v>23</v>
      </c>
      <c r="H140" s="20"/>
      <c r="I140" s="20" t="s">
        <v>288</v>
      </c>
      <c r="J140" s="20" t="n">
        <f aca="false">IF($I140="Yes",IFERROR(INDEX('Buy List'!$A$2:$A$91,MATCH($F140,'Buy List'!$C$2:$C$91,0)),"-"),"-")</f>
        <v>68</v>
      </c>
      <c r="K140" s="29" t="s">
        <v>358</v>
      </c>
      <c r="L140" s="20" t="s">
        <v>359</v>
      </c>
    </row>
    <row r="141" customFormat="false" ht="26.85" hidden="false" customHeight="false" outlineLevel="0" collapsed="false">
      <c r="A141" s="20" t="n">
        <v>140</v>
      </c>
      <c r="B141" s="23" t="s">
        <v>694</v>
      </c>
      <c r="C141" s="20" t="s">
        <v>695</v>
      </c>
      <c r="D141" s="20" t="s">
        <v>355</v>
      </c>
      <c r="E141" s="20" t="s">
        <v>356</v>
      </c>
      <c r="F141" s="20" t="s">
        <v>241</v>
      </c>
      <c r="G141" s="26" t="s">
        <v>23</v>
      </c>
      <c r="H141" s="20"/>
      <c r="I141" s="20" t="s">
        <v>288</v>
      </c>
      <c r="J141" s="20" t="n">
        <f aca="false">IF($I141="Yes",IFERROR(INDEX('Buy List'!$A$2:$A$91,MATCH($F141,'Buy List'!$C$2:$C$91,0)),"-"),"-")</f>
        <v>79</v>
      </c>
      <c r="K141" s="29" t="s">
        <v>358</v>
      </c>
      <c r="L141" s="20" t="s">
        <v>359</v>
      </c>
    </row>
    <row r="142" customFormat="false" ht="26.85" hidden="false" customHeight="false" outlineLevel="0" collapsed="false">
      <c r="A142" s="20" t="n">
        <v>141</v>
      </c>
      <c r="B142" s="23" t="s">
        <v>694</v>
      </c>
      <c r="C142" s="20" t="s">
        <v>227</v>
      </c>
      <c r="D142" s="20" t="s">
        <v>355</v>
      </c>
      <c r="E142" s="20" t="s">
        <v>356</v>
      </c>
      <c r="F142" s="20" t="s">
        <v>227</v>
      </c>
      <c r="G142" s="26" t="s">
        <v>23</v>
      </c>
      <c r="H142" s="20"/>
      <c r="I142" s="20" t="s">
        <v>288</v>
      </c>
      <c r="J142" s="20" t="n">
        <f aca="false">IF($I142="Yes",IFERROR(INDEX('Buy List'!$A$2:$A$91,MATCH($F142,'Buy List'!$C$2:$C$91,0)),"-"),"-")</f>
        <v>72</v>
      </c>
      <c r="K142" s="29" t="s">
        <v>358</v>
      </c>
      <c r="L142" s="20" t="s">
        <v>359</v>
      </c>
    </row>
    <row r="143" customFormat="false" ht="26.85" hidden="false" customHeight="false" outlineLevel="0" collapsed="false">
      <c r="A143" s="20" t="n">
        <v>142</v>
      </c>
      <c r="B143" s="23" t="s">
        <v>694</v>
      </c>
      <c r="C143" s="20" t="s">
        <v>233</v>
      </c>
      <c r="D143" s="20" t="s">
        <v>355</v>
      </c>
      <c r="E143" s="20" t="s">
        <v>356</v>
      </c>
      <c r="F143" s="20" t="s">
        <v>233</v>
      </c>
      <c r="G143" s="26" t="s">
        <v>23</v>
      </c>
      <c r="H143" s="20"/>
      <c r="I143" s="20" t="s">
        <v>288</v>
      </c>
      <c r="J143" s="20" t="n">
        <f aca="false">IF($I143="Yes",IFERROR(INDEX('Buy List'!$A$2:$A$91,MATCH($F143,'Buy List'!$C$2:$C$91,0)),"-"),"-")</f>
        <v>75</v>
      </c>
      <c r="K143" s="29" t="s">
        <v>358</v>
      </c>
      <c r="L143" s="20" t="s">
        <v>359</v>
      </c>
    </row>
    <row r="144" customFormat="false" ht="26.85" hidden="false" customHeight="false" outlineLevel="0" collapsed="false">
      <c r="A144" s="20" t="n">
        <v>143</v>
      </c>
      <c r="B144" s="23" t="s">
        <v>694</v>
      </c>
      <c r="C144" s="20" t="s">
        <v>237</v>
      </c>
      <c r="D144" s="20" t="s">
        <v>355</v>
      </c>
      <c r="E144" s="20" t="s">
        <v>356</v>
      </c>
      <c r="F144" s="20" t="s">
        <v>237</v>
      </c>
      <c r="G144" s="26" t="s">
        <v>23</v>
      </c>
      <c r="H144" s="20"/>
      <c r="I144" s="20" t="s">
        <v>288</v>
      </c>
      <c r="J144" s="20" t="n">
        <f aca="false">IF($I144="Yes",IFERROR(INDEX('Buy List'!$A$2:$A$91,MATCH($F144,'Buy List'!$C$2:$C$91,0)),"-"),"-")</f>
        <v>77</v>
      </c>
      <c r="K144" s="29" t="s">
        <v>358</v>
      </c>
      <c r="L144" s="20" t="s">
        <v>359</v>
      </c>
    </row>
    <row r="145" customFormat="false" ht="26.85" hidden="false" customHeight="false" outlineLevel="0" collapsed="false">
      <c r="A145" s="20" t="n">
        <v>144</v>
      </c>
      <c r="B145" s="23" t="s">
        <v>694</v>
      </c>
      <c r="C145" s="20" t="s">
        <v>229</v>
      </c>
      <c r="D145" s="20" t="s">
        <v>355</v>
      </c>
      <c r="E145" s="20" t="s">
        <v>356</v>
      </c>
      <c r="F145" s="20" t="s">
        <v>229</v>
      </c>
      <c r="G145" s="26" t="s">
        <v>23</v>
      </c>
      <c r="H145" s="20"/>
      <c r="I145" s="20" t="s">
        <v>288</v>
      </c>
      <c r="J145" s="20" t="n">
        <f aca="false">IF($I145="Yes",IFERROR(INDEX('Buy List'!$A$2:$A$91,MATCH($F145,'Buy List'!$C$2:$C$91,0)),"-"),"-")</f>
        <v>73</v>
      </c>
      <c r="K145" s="29" t="s">
        <v>358</v>
      </c>
      <c r="L145" s="20" t="s">
        <v>359</v>
      </c>
    </row>
    <row r="146" customFormat="false" ht="26.85" hidden="false" customHeight="false" outlineLevel="0" collapsed="false">
      <c r="A146" s="20" t="n">
        <v>145</v>
      </c>
      <c r="B146" s="23" t="s">
        <v>694</v>
      </c>
      <c r="C146" s="20" t="s">
        <v>56</v>
      </c>
      <c r="D146" s="20" t="s">
        <v>355</v>
      </c>
      <c r="E146" s="20" t="s">
        <v>356</v>
      </c>
      <c r="F146" s="20" t="s">
        <v>56</v>
      </c>
      <c r="G146" s="26" t="s">
        <v>23</v>
      </c>
      <c r="H146" s="20"/>
      <c r="I146" s="20" t="s">
        <v>288</v>
      </c>
      <c r="J146" s="20" t="n">
        <f aca="false">IF($I146="Yes",IFERROR(INDEX('Buy List'!$A$2:$A$91,MATCH($F146,'Buy List'!$C$2:$C$91,0)),"-"),"-")</f>
        <v>1</v>
      </c>
      <c r="K146" s="29" t="s">
        <v>358</v>
      </c>
      <c r="L146" s="20" t="s">
        <v>359</v>
      </c>
    </row>
    <row r="147" customFormat="false" ht="26.85" hidden="false" customHeight="false" outlineLevel="0" collapsed="false">
      <c r="A147" s="20" t="n">
        <v>146</v>
      </c>
      <c r="B147" s="23" t="s">
        <v>694</v>
      </c>
      <c r="C147" s="20" t="s">
        <v>225</v>
      </c>
      <c r="D147" s="20" t="s">
        <v>355</v>
      </c>
      <c r="E147" s="20" t="s">
        <v>356</v>
      </c>
      <c r="F147" s="20" t="s">
        <v>225</v>
      </c>
      <c r="G147" s="26" t="s">
        <v>23</v>
      </c>
      <c r="H147" s="20"/>
      <c r="I147" s="20" t="s">
        <v>288</v>
      </c>
      <c r="J147" s="20" t="n">
        <f aca="false">IF($I147="Yes",IFERROR(INDEX('Buy List'!$A$2:$A$91,MATCH($F147,'Buy List'!$C$2:$C$91,0)),"-"),"-")</f>
        <v>71</v>
      </c>
      <c r="K147" s="29" t="s">
        <v>358</v>
      </c>
      <c r="L147" s="20" t="s">
        <v>359</v>
      </c>
    </row>
    <row r="148" customFormat="false" ht="26.85" hidden="false" customHeight="false" outlineLevel="0" collapsed="false">
      <c r="A148" s="20" t="n">
        <v>147</v>
      </c>
      <c r="B148" s="23" t="s">
        <v>694</v>
      </c>
      <c r="C148" s="20" t="s">
        <v>677</v>
      </c>
      <c r="D148" s="20" t="s">
        <v>355</v>
      </c>
      <c r="E148" s="20" t="s">
        <v>356</v>
      </c>
      <c r="F148" s="20" t="s">
        <v>677</v>
      </c>
      <c r="G148" s="28" t="s">
        <v>25</v>
      </c>
      <c r="H148" s="20" t="s">
        <v>696</v>
      </c>
      <c r="I148" s="20" t="s">
        <v>279</v>
      </c>
      <c r="J148" s="20" t="str">
        <f aca="false">IF($I148="Yes",IFERROR(INDEX('Buy List'!$A$2:$A$91,MATCH($F148,'Buy List'!$C$2:$C$91,0)),"-"),"-")</f>
        <v>-</v>
      </c>
      <c r="K148" s="29" t="s">
        <v>358</v>
      </c>
      <c r="L148" s="20" t="s">
        <v>359</v>
      </c>
    </row>
    <row r="149" customFormat="false" ht="26.85" hidden="false" customHeight="false" outlineLevel="0" collapsed="false">
      <c r="A149" s="20" t="n">
        <v>148</v>
      </c>
      <c r="B149" s="23" t="s">
        <v>694</v>
      </c>
      <c r="C149" s="20" t="s">
        <v>672</v>
      </c>
      <c r="D149" s="20" t="s">
        <v>355</v>
      </c>
      <c r="E149" s="20" t="s">
        <v>356</v>
      </c>
      <c r="F149" s="20" t="s">
        <v>672</v>
      </c>
      <c r="G149" s="28" t="s">
        <v>25</v>
      </c>
      <c r="H149" s="20" t="s">
        <v>696</v>
      </c>
      <c r="I149" s="20" t="s">
        <v>279</v>
      </c>
      <c r="J149" s="20" t="str">
        <f aca="false">IF($I149="Yes",IFERROR(INDEX('Buy List'!$A$2:$A$91,MATCH($F149,'Buy List'!$C$2:$C$91,0)),"-"),"-")</f>
        <v>-</v>
      </c>
      <c r="K149" s="29" t="s">
        <v>358</v>
      </c>
      <c r="L149" s="20" t="s">
        <v>359</v>
      </c>
    </row>
    <row r="150" customFormat="false" ht="26.85" hidden="false" customHeight="false" outlineLevel="0" collapsed="false">
      <c r="A150" s="20" t="n">
        <v>149</v>
      </c>
      <c r="B150" s="23" t="s">
        <v>694</v>
      </c>
      <c r="C150" s="20" t="s">
        <v>235</v>
      </c>
      <c r="D150" s="20" t="s">
        <v>355</v>
      </c>
      <c r="E150" s="20" t="s">
        <v>356</v>
      </c>
      <c r="F150" s="20" t="s">
        <v>235</v>
      </c>
      <c r="G150" s="26" t="s">
        <v>23</v>
      </c>
      <c r="H150" s="20"/>
      <c r="I150" s="20" t="s">
        <v>288</v>
      </c>
      <c r="J150" s="20" t="n">
        <f aca="false">IF($I150="Yes",IFERROR(INDEX('Buy List'!$A$2:$A$91,MATCH($F150,'Buy List'!$C$2:$C$91,0)),"-"),"-")</f>
        <v>76</v>
      </c>
      <c r="K150" s="29" t="s">
        <v>358</v>
      </c>
      <c r="L150" s="20" t="s">
        <v>359</v>
      </c>
    </row>
    <row r="151" customFormat="false" ht="26.85" hidden="false" customHeight="false" outlineLevel="0" collapsed="false">
      <c r="A151" s="20" t="n">
        <v>150</v>
      </c>
      <c r="B151" s="23" t="s">
        <v>694</v>
      </c>
      <c r="C151" s="20" t="s">
        <v>243</v>
      </c>
      <c r="D151" s="20" t="s">
        <v>355</v>
      </c>
      <c r="E151" s="20" t="s">
        <v>356</v>
      </c>
      <c r="F151" s="20" t="s">
        <v>243</v>
      </c>
      <c r="G151" s="26" t="s">
        <v>23</v>
      </c>
      <c r="H151" s="20"/>
      <c r="I151" s="20" t="s">
        <v>288</v>
      </c>
      <c r="J151" s="20" t="n">
        <f aca="false">IF($I151="Yes",IFERROR(INDEX('Buy List'!$A$2:$A$91,MATCH($F151,'Buy List'!$C$2:$C$91,0)),"-"),"-")</f>
        <v>80</v>
      </c>
      <c r="K151" s="29" t="s">
        <v>358</v>
      </c>
      <c r="L151" s="20" t="s">
        <v>359</v>
      </c>
    </row>
    <row r="152" customFormat="false" ht="26.85" hidden="false" customHeight="false" outlineLevel="0" collapsed="false">
      <c r="A152" s="20" t="n">
        <v>151</v>
      </c>
      <c r="B152" s="23" t="s">
        <v>694</v>
      </c>
      <c r="C152" s="20" t="s">
        <v>223</v>
      </c>
      <c r="D152" s="20" t="s">
        <v>355</v>
      </c>
      <c r="E152" s="20" t="s">
        <v>356</v>
      </c>
      <c r="F152" s="20" t="s">
        <v>223</v>
      </c>
      <c r="G152" s="26" t="s">
        <v>23</v>
      </c>
      <c r="H152" s="20"/>
      <c r="I152" s="20" t="s">
        <v>288</v>
      </c>
      <c r="J152" s="20" t="n">
        <f aca="false">IF($I152="Yes",IFERROR(INDEX('Buy List'!$A$2:$A$91,MATCH($F152,'Buy List'!$C$2:$C$91,0)),"-"),"-")</f>
        <v>70</v>
      </c>
      <c r="K152" s="29" t="s">
        <v>358</v>
      </c>
      <c r="L152" s="20" t="s">
        <v>359</v>
      </c>
    </row>
    <row r="153" customFormat="false" ht="26.85" hidden="false" customHeight="false" outlineLevel="0" collapsed="false">
      <c r="A153" s="20" t="n">
        <v>152</v>
      </c>
      <c r="B153" s="23" t="s">
        <v>694</v>
      </c>
      <c r="C153" s="20" t="s">
        <v>231</v>
      </c>
      <c r="D153" s="20" t="s">
        <v>355</v>
      </c>
      <c r="E153" s="20" t="s">
        <v>356</v>
      </c>
      <c r="F153" s="20" t="s">
        <v>231</v>
      </c>
      <c r="G153" s="26" t="s">
        <v>23</v>
      </c>
      <c r="H153" s="20"/>
      <c r="I153" s="20" t="s">
        <v>288</v>
      </c>
      <c r="J153" s="20" t="n">
        <f aca="false">IF($I153="Yes",IFERROR(INDEX('Buy List'!$A$2:$A$91,MATCH($F153,'Buy List'!$C$2:$C$91,0)),"-"),"-")</f>
        <v>74</v>
      </c>
      <c r="K153" s="29" t="s">
        <v>358</v>
      </c>
      <c r="L153" s="20" t="s">
        <v>359</v>
      </c>
    </row>
    <row r="154" customFormat="false" ht="26.85" hidden="false" customHeight="false" outlineLevel="0" collapsed="false">
      <c r="A154" s="20" t="n">
        <v>153</v>
      </c>
      <c r="B154" s="23" t="s">
        <v>694</v>
      </c>
      <c r="C154" s="20" t="s">
        <v>239</v>
      </c>
      <c r="D154" s="20" t="s">
        <v>355</v>
      </c>
      <c r="E154" s="20" t="s">
        <v>356</v>
      </c>
      <c r="F154" s="20" t="s">
        <v>239</v>
      </c>
      <c r="G154" s="26" t="s">
        <v>23</v>
      </c>
      <c r="H154" s="20"/>
      <c r="I154" s="20" t="s">
        <v>288</v>
      </c>
      <c r="J154" s="20" t="n">
        <f aca="false">IF($I154="Yes",IFERROR(INDEX('Buy List'!$A$2:$A$91,MATCH($F154,'Buy List'!$C$2:$C$91,0)),"-"),"-")</f>
        <v>78</v>
      </c>
      <c r="K154" s="29" t="s">
        <v>358</v>
      </c>
      <c r="L154" s="20" t="s">
        <v>359</v>
      </c>
    </row>
    <row r="155" customFormat="false" ht="26.85" hidden="false" customHeight="false" outlineLevel="0" collapsed="false">
      <c r="A155" s="20" t="n">
        <v>154</v>
      </c>
      <c r="B155" s="23" t="s">
        <v>694</v>
      </c>
      <c r="C155" s="20" t="s">
        <v>221</v>
      </c>
      <c r="D155" s="20" t="s">
        <v>355</v>
      </c>
      <c r="E155" s="20" t="s">
        <v>356</v>
      </c>
      <c r="F155" s="20" t="s">
        <v>221</v>
      </c>
      <c r="G155" s="26" t="s">
        <v>23</v>
      </c>
      <c r="H155" s="20"/>
      <c r="I155" s="20" t="s">
        <v>288</v>
      </c>
      <c r="J155" s="20" t="n">
        <f aca="false">IF($I155="Yes",IFERROR(INDEX('Buy List'!$A$2:$A$91,MATCH($F155,'Buy List'!$C$2:$C$91,0)),"-"),"-")</f>
        <v>69</v>
      </c>
      <c r="K155" s="29" t="s">
        <v>358</v>
      </c>
      <c r="L155" s="20" t="s">
        <v>359</v>
      </c>
    </row>
  </sheetData>
  <autoFilter ref="A1:L155"/>
  <hyperlinks>
    <hyperlink ref="B2" r:id="rId1" display="https://exercisemenu.com/exercises-with-a-medicine-ball-for-beginners/"/>
    <hyperlink ref="B3" r:id="rId2" display="https://exercisemenu.com/exercises-with-a-medicine-ball-for-beginners/"/>
    <hyperlink ref="B4" r:id="rId3" display="https://exercisemenu.com/exercises-with-a-medicine-ball-for-beginners/"/>
    <hyperlink ref="B5" r:id="rId4" display="https://exercisemenu.com/exercises-with-a-medicine-ball-for-beginners/"/>
    <hyperlink ref="B6" r:id="rId5" display="https://exercisemenu.com/exercises-with-a-medicine-ball-for-beginners/"/>
    <hyperlink ref="B7" r:id="rId6" display="https://exercisemenu.com/exercises-with-a-medicine-ball-for-beginners/"/>
    <hyperlink ref="B8" r:id="rId7" display="https://exercisemenu.com/exercises-with-a-medicine-ball-for-beginners/"/>
    <hyperlink ref="B9" r:id="rId8" display="https://exercisemenu.com/exercises-with-a-medicine-ball-for-beginners/"/>
    <hyperlink ref="B10" r:id="rId9" display="https://exercisemenu.com/exercises-with-a-medicine-ball-for-beginners/"/>
    <hyperlink ref="B11" r:id="rId10" display="https://exercisemenu.com/exercises-with-a-medicine-ball-for-beginners/"/>
    <hyperlink ref="B12" r:id="rId11" display="https://exercisemenu.com/exercises-with-a-medicine-ball-for-beginners/"/>
    <hyperlink ref="B13" r:id="rId12" display="https://exercisemenu.com/exercises-with-a-medicine-ball-for-beginners/"/>
    <hyperlink ref="B14" r:id="rId13" display="https://exercisemenu.com/medicine-ball-ab-exercises/"/>
    <hyperlink ref="B15" r:id="rId14" display="https://exercisemenu.com/medicine-ball-ab-exercises/"/>
    <hyperlink ref="B16" r:id="rId15" display="https://exercisemenu.com/medicine-ball-ab-exercises/"/>
    <hyperlink ref="B17" r:id="rId16" display="https://exercisemenu.com/medicine-ball-ab-exercises/"/>
    <hyperlink ref="B18" r:id="rId17" display="https://exercisemenu.com/medicine-ball-ab-exercises/"/>
    <hyperlink ref="B19" r:id="rId18" display="https://exercisemenu.com/medicine-ball-ab-exercises/"/>
    <hyperlink ref="B20" r:id="rId19" display="https://exercisemenu.com/medicine-ball-ab-exercises/"/>
    <hyperlink ref="B21" r:id="rId20" display="https://exercisemenu.com/medicine-ball-ab-exercises/"/>
    <hyperlink ref="B22" r:id="rId21" display="https://exercisemenu.com/medicine-ball-ab-exercises/"/>
    <hyperlink ref="B23" r:id="rId22" display="https://exercisemenu.com/medicine-ball-ab-exercises/"/>
    <hyperlink ref="B24" r:id="rId23" display="https://exercisemenu.com/medicine-ball-exercises-for-lower-abs/"/>
    <hyperlink ref="B25" r:id="rId24" display="https://exercisemenu.com/medicine-ball-exercises-for-lower-abs/"/>
    <hyperlink ref="B26" r:id="rId25" display="https://exercisemenu.com/medicine-ball-exercises-for-lower-abs/"/>
    <hyperlink ref="B27" r:id="rId26" display="https://exercisemenu.com/medicine-ball-exercises-for-lower-abs/"/>
    <hyperlink ref="B28" r:id="rId27" display="https://exercisemenu.com/medicine-ball-exercises-for-lower-abs/"/>
    <hyperlink ref="B29" r:id="rId28" display="https://exercisemenu.com/medicine-ball-exercises-for-lower-abs/"/>
    <hyperlink ref="B30" r:id="rId29" display="https://exercisemenu.com/medicine-ball-exercises-for-lower-abs/"/>
    <hyperlink ref="B31" r:id="rId30" display="https://exercisemenu.com/medicine-ball-exercises-for-lower-abs/"/>
    <hyperlink ref="B32" r:id="rId31" display="https://exercisemenu.com/medicine-ball-exercises-for-lower-abs/"/>
    <hyperlink ref="B33" r:id="rId32" display="https://exercisemenu.com/medicine-ball-exercises-for-lower-abs/"/>
    <hyperlink ref="B34" r:id="rId33" display="https://exercisemenu.com/10-medicine-ball-exercises-for-legs/"/>
    <hyperlink ref="B35" r:id="rId34" display="https://exercisemenu.com/10-medicine-ball-exercises-for-legs/"/>
    <hyperlink ref="B36" r:id="rId35" display="https://exercisemenu.com/10-medicine-ball-exercises-for-legs/"/>
    <hyperlink ref="B37" r:id="rId36" display="https://exercisemenu.com/10-medicine-ball-exercises-for-legs/"/>
    <hyperlink ref="B38" r:id="rId37" display="https://exercisemenu.com/10-medicine-ball-exercises-for-legs/"/>
    <hyperlink ref="B39" r:id="rId38" display="https://exercisemenu.com/10-medicine-ball-exercises-for-legs/"/>
    <hyperlink ref="B40" r:id="rId39" display="https://exercisemenu.com/10-medicine-ball-exercises-for-legs/"/>
    <hyperlink ref="B41" r:id="rId40" display="https://exercisemenu.com/10-medicine-ball-exercises-for-legs/"/>
    <hyperlink ref="B42" r:id="rId41" display="https://exercisemenu.com/10-medicine-ball-exercises-for-legs/"/>
    <hyperlink ref="B43" r:id="rId42" display="https://exercisemenu.com/10-medicine-ball-exercises-for-legs/"/>
    <hyperlink ref="B44" r:id="rId43" display="https://exercisemenu.com/10-medicine-ball-chest-exercises/"/>
    <hyperlink ref="B45" r:id="rId44" display="https://exercisemenu.com/10-medicine-ball-chest-exercises/"/>
    <hyperlink ref="B46" r:id="rId45" display="https://exercisemenu.com/10-medicine-ball-chest-exercises/"/>
    <hyperlink ref="B47" r:id="rId46" display="https://exercisemenu.com/10-medicine-ball-chest-exercises/"/>
    <hyperlink ref="B48" r:id="rId47" display="https://exercisemenu.com/10-medicine-ball-chest-exercises/"/>
    <hyperlink ref="B49" r:id="rId48" display="https://exercisemenu.com/10-medicine-ball-chest-exercises/"/>
    <hyperlink ref="B50" r:id="rId49" display="https://exercisemenu.com/10-medicine-ball-chest-exercises/"/>
    <hyperlink ref="B51" r:id="rId50" display="https://exercisemenu.com/10-medicine-ball-chest-exercises/"/>
    <hyperlink ref="B52" r:id="rId51" display="https://exercisemenu.com/10-medicine-ball-chest-exercises/"/>
    <hyperlink ref="B53" r:id="rId52" display="https://exercisemenu.com/10-medicine-ball-chest-exercises/"/>
    <hyperlink ref="B54" r:id="rId53" display="https://exercisemenu.com/10-medicine-ball-exercises-for-back/"/>
    <hyperlink ref="B55" r:id="rId54" display="https://exercisemenu.com/10-medicine-ball-exercises-for-back/"/>
    <hyperlink ref="B56" r:id="rId55" display="https://exercisemenu.com/10-medicine-ball-exercises-for-back/"/>
    <hyperlink ref="B57" r:id="rId56" display="https://exercisemenu.com/10-medicine-ball-exercises-for-back/"/>
    <hyperlink ref="B58" r:id="rId57" display="https://exercisemenu.com/10-medicine-ball-exercises-for-back/"/>
    <hyperlink ref="B59" r:id="rId58" display="https://exercisemenu.com/10-medicine-ball-exercises-for-back/"/>
    <hyperlink ref="B60" r:id="rId59" display="https://exercisemenu.com/10-medicine-ball-exercises-for-back/"/>
    <hyperlink ref="B61" r:id="rId60" display="https://exercisemenu.com/10-medicine-ball-exercises-for-back/"/>
    <hyperlink ref="B62" r:id="rId61" display="https://exercisemenu.com/10-medicine-ball-exercises-for-back/"/>
    <hyperlink ref="B63" r:id="rId62" display="https://exercisemenu.com/10-medicine-ball-exercises-for-back/"/>
    <hyperlink ref="B64" r:id="rId63" display="https://exercisemenu.com/10-medicine-ball-exercises-for-arms/"/>
    <hyperlink ref="B65" r:id="rId64" display="https://exercisemenu.com/10-medicine-ball-exercises-for-arms/"/>
    <hyperlink ref="B66" r:id="rId65" display="https://exercisemenu.com/10-medicine-ball-exercises-for-arms/"/>
    <hyperlink ref="B67" r:id="rId66" display="https://exercisemenu.com/10-medicine-ball-exercises-for-arms/"/>
    <hyperlink ref="B68" r:id="rId67" display="https://exercisemenu.com/10-medicine-ball-exercises-for-arms/"/>
    <hyperlink ref="B69" r:id="rId68" display="https://exercisemenu.com/10-medicine-ball-exercises-for-arms/"/>
    <hyperlink ref="B70" r:id="rId69" display="https://exercisemenu.com/10-medicine-ball-exercises-for-arms/"/>
    <hyperlink ref="B71" r:id="rId70" display="https://exercisemenu.com/10-medicine-ball-exercises-for-arms/"/>
    <hyperlink ref="B72" r:id="rId71" display="https://exercisemenu.com/10-medicine-ball-exercises-for-arms/"/>
    <hyperlink ref="B73" r:id="rId72" display="https://exercisemenu.com/10-medicine-ball-exercises-for-arms/"/>
    <hyperlink ref="B74" r:id="rId73" display="https://exercisemenu.com/medicine-ball-exercises-for-shoulders/"/>
    <hyperlink ref="B75" r:id="rId74" display="https://exercisemenu.com/medicine-ball-exercises-for-shoulders/"/>
    <hyperlink ref="B76" r:id="rId75" display="https://exercisemenu.com/medicine-ball-exercises-for-shoulders/"/>
    <hyperlink ref="B77" r:id="rId76" display="https://exercisemenu.com/medicine-ball-exercises-for-shoulders/"/>
    <hyperlink ref="B78" r:id="rId77" display="https://exercisemenu.com/medicine-ball-exercises-for-shoulders/"/>
    <hyperlink ref="B79" r:id="rId78" display="https://exercisemenu.com/medicine-ball-exercises-for-shoulders/"/>
    <hyperlink ref="B80" r:id="rId79" display="https://exercisemenu.com/medicine-ball-exercises-for-shoulders/"/>
    <hyperlink ref="B81" r:id="rId80" display="https://exercisemenu.com/medicine-ball-exercises-for-shoulders/"/>
    <hyperlink ref="B82" r:id="rId81" display="https://exercisemenu.com/medicine-ball-exercises-for-shoulders/"/>
    <hyperlink ref="B83" r:id="rId82" display="https://exercisemenu.com/medicine-ball-exercises-for-shoulders/"/>
    <hyperlink ref="B84" r:id="rId83" display="https://exercisemenu.com/partner-medicine-ball-exercises/"/>
    <hyperlink ref="B85" r:id="rId84" display="https://exercisemenu.com/partner-medicine-ball-exercises/"/>
    <hyperlink ref="B86" r:id="rId85" display="https://exercisemenu.com/partner-medicine-ball-exercises/"/>
    <hyperlink ref="B87" r:id="rId86" display="https://exercisemenu.com/partner-medicine-ball-exercises/"/>
    <hyperlink ref="B88" r:id="rId87" display="https://exercisemenu.com/partner-medicine-ball-exercises/"/>
    <hyperlink ref="B89" r:id="rId88" display="https://exercisemenu.com/partner-medicine-ball-exercises/"/>
    <hyperlink ref="B90" r:id="rId89" display="https://exercisemenu.com/partner-medicine-ball-exercises/"/>
    <hyperlink ref="B91" r:id="rId90" display="https://exercisemenu.com/partner-medicine-ball-exercises/"/>
    <hyperlink ref="B92" r:id="rId91" display="https://exercisemenu.com/partner-medicine-ball-exercises/"/>
    <hyperlink ref="B93" r:id="rId92" display="https://exercisemenu.com/partner-medicine-ball-exercises/"/>
    <hyperlink ref="B94" r:id="rId93" display="https://exercisemenu.com/10-medicine-ball-exercises-for-kids-under-12/"/>
    <hyperlink ref="B95" r:id="rId94" display="https://exercisemenu.com/10-medicine-ball-exercises-for-kids-under-12/"/>
    <hyperlink ref="B96" r:id="rId95" display="https://exercisemenu.com/10-medicine-ball-exercises-for-kids-under-12/"/>
    <hyperlink ref="B97" r:id="rId96" display="https://exercisemenu.com/10-medicine-ball-exercises-for-kids-under-12/"/>
    <hyperlink ref="B98" r:id="rId97" display="https://exercisemenu.com/10-medicine-ball-exercises-for-kids-under-12/"/>
    <hyperlink ref="B99" r:id="rId98" display="https://exercisemenu.com/10-medicine-ball-exercises-for-kids-under-12/"/>
    <hyperlink ref="B100" r:id="rId99" display="https://exercisemenu.com/10-medicine-ball-exercises-for-kids-under-12/"/>
    <hyperlink ref="B101" r:id="rId100" display="https://exercisemenu.com/10-medicine-ball-exercises-for-kids-under-12/"/>
    <hyperlink ref="B102" r:id="rId101" display="https://exercisemenu.com/10-medicine-ball-exercises-for-kids-under-12/"/>
    <hyperlink ref="B103" r:id="rId102" display="https://exercisemenu.com/10-medicine-ball-exercises-for-kids-under-12/"/>
    <hyperlink ref="B104" r:id="rId103" display="https://exercisemenu.com/cable-chest-exercises-10-best-moves/"/>
    <hyperlink ref="B105" r:id="rId104" display="https://exercisemenu.com/cable-chest-exercises-10-best-moves/"/>
    <hyperlink ref="B106" r:id="rId105" display="https://exercisemenu.com/cable-chest-exercises-10-best-moves/"/>
    <hyperlink ref="B107" r:id="rId106" display="https://exercisemenu.com/cable-chest-exercises-10-best-moves/"/>
    <hyperlink ref="B108" r:id="rId107" display="https://exercisemenu.com/cable-chest-exercises-10-best-moves/"/>
    <hyperlink ref="B109" r:id="rId108" display="https://exercisemenu.com/cable-chest-exercises-10-best-moves/"/>
    <hyperlink ref="B110" r:id="rId109" display="https://exercisemenu.com/cable-chest-exercises-10-best-moves/"/>
    <hyperlink ref="B111" r:id="rId110" display="https://exercisemenu.com/cable-chest-exercises-10-best-moves/"/>
    <hyperlink ref="B112" r:id="rId111" display="https://exercisemenu.com/cable-chest-exercises-10-best-moves/"/>
    <hyperlink ref="B113" r:id="rId112" display="https://exercisemenu.com/cable-chest-exercises-10-best-moves/"/>
    <hyperlink ref="B114" r:id="rId113" display="https://exercisemenu.com/isometric-exercises/"/>
    <hyperlink ref="B115" r:id="rId114" display="https://exercisemenu.com/isometric-exercises/"/>
    <hyperlink ref="B116" r:id="rId115" display="https://exercisemenu.com/isometric-exercises/"/>
    <hyperlink ref="B117" r:id="rId116" display="https://exercisemenu.com/isometric-exercises/"/>
    <hyperlink ref="B118" r:id="rId117" display="https://exercisemenu.com/isometric-exercises/"/>
    <hyperlink ref="B119" r:id="rId118" display="https://exercisemenu.com/isometric-exercises/"/>
    <hyperlink ref="B120" r:id="rId119" display="https://exercisemenu.com/isometric-exercises/"/>
    <hyperlink ref="B121" r:id="rId120" display="https://exercisemenu.com/isometric-exercises/"/>
    <hyperlink ref="B122" r:id="rId121" display="https://exercisemenu.com/isometric-exercises/"/>
    <hyperlink ref="B123" r:id="rId122" display="https://exercisemenu.com/isometric-exercises/"/>
    <hyperlink ref="B124" r:id="rId123" display="https://exercisemenu.com/how-to-train-deltoids-and-biceps-with-dumbbells/"/>
    <hyperlink ref="B125" r:id="rId124" display="https://exercisemenu.com/how-to-train-deltoids-and-biceps-with-dumbbells/"/>
    <hyperlink ref="B126" r:id="rId125" display="https://exercisemenu.com/how-to-train-deltoids-and-biceps-with-dumbbells/"/>
    <hyperlink ref="B127" r:id="rId126" display="https://exercisemenu.com/how-to-train-deltoids-and-biceps-with-dumbbells/"/>
    <hyperlink ref="B128" r:id="rId127" display="https://exercisemenu.com/how-to-train-deltoids-and-biceps-with-dumbbells/"/>
    <hyperlink ref="B129" r:id="rId128" display="https://exercisemenu.com/air-squats/"/>
    <hyperlink ref="B130" r:id="rId129" display="https://exercisemenu.com/dumbbell-sumo-squat/"/>
    <hyperlink ref="B131" r:id="rId130" display="https://exercisemenu.com/dumbbell-romanian-deadlift/"/>
    <hyperlink ref="B132" r:id="rId131" display="https://exercisemenu.com/how-to-deadlift-for-beginners/"/>
    <hyperlink ref="B133" r:id="rId132" display="https://exercisemenu.com/how-to-trap-bar-deadlift/"/>
    <hyperlink ref="B134" r:id="rId133" display="https://exercisemenu.com/front-squat-vs-back-squat/"/>
    <hyperlink ref="B135" r:id="rId134" display="https://exercisemenu.com/front-squat-vs-back-squat/"/>
    <hyperlink ref="B136" r:id="rId135" display="https://exercisemenu.com/high-bar-vs-low-bar-squat/"/>
    <hyperlink ref="B137" r:id="rId136" display="https://exercisemenu.com/high-bar-vs-low-bar-squat/"/>
    <hyperlink ref="B138" r:id="rId137" display="https://exercisemenu.com/sumo-vs-conventional-deadlift/"/>
    <hyperlink ref="B139" r:id="rId138" display="https://exercisemenu.com/sumo-vs-conventional-deadlift/"/>
    <hyperlink ref="B140" r:id="rId139" display="https://exercisemenu.com/types-of-squats/"/>
    <hyperlink ref="B141" r:id="rId140" display="https://exercisemenu.com/types-of-squats/"/>
    <hyperlink ref="B142" r:id="rId141" display="https://exercisemenu.com/types-of-squats/"/>
    <hyperlink ref="B143" r:id="rId142" display="https://exercisemenu.com/types-of-squats/"/>
    <hyperlink ref="B144" r:id="rId143" display="https://exercisemenu.com/types-of-squats/"/>
    <hyperlink ref="B145" r:id="rId144" display="https://exercisemenu.com/types-of-squats/"/>
    <hyperlink ref="B146" r:id="rId145" display="https://exercisemenu.com/types-of-squats/"/>
    <hyperlink ref="B147" r:id="rId146" display="https://exercisemenu.com/types-of-squats/"/>
    <hyperlink ref="B148" r:id="rId147" display="https://exercisemenu.com/types-of-squats/"/>
    <hyperlink ref="B149" r:id="rId148" display="https://exercisemenu.com/types-of-squats/"/>
    <hyperlink ref="B150" r:id="rId149" display="https://exercisemenu.com/types-of-squats/"/>
    <hyperlink ref="B151" r:id="rId150" display="https://exercisemenu.com/types-of-squats/"/>
    <hyperlink ref="B152" r:id="rId151" display="https://exercisemenu.com/types-of-squats/"/>
    <hyperlink ref="B153" r:id="rId152" display="https://exercisemenu.com/types-of-squats/"/>
    <hyperlink ref="B154" r:id="rId153" display="https://exercisemenu.com/types-of-squats/"/>
    <hyperlink ref="B155" r:id="rId154" display="https://exercisemenu.com/types-of-squa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0"/>
    <col collapsed="false" customWidth="true" hidden="false" outlineLevel="0" max="3" min="3" style="0" width="45"/>
  </cols>
  <sheetData>
    <row r="1" customFormat="false" ht="31.5" hidden="false" customHeight="true" outlineLevel="0" collapsed="false">
      <c r="A1" s="18" t="s">
        <v>697</v>
      </c>
      <c r="B1" s="18" t="s">
        <v>698</v>
      </c>
      <c r="C1" s="18" t="s">
        <v>699</v>
      </c>
    </row>
    <row r="2" customFormat="false" ht="52.2" hidden="false" customHeight="false" outlineLevel="0" collapsed="false">
      <c r="A2" s="23" t="s">
        <v>700</v>
      </c>
      <c r="B2" s="20" t="s">
        <v>701</v>
      </c>
      <c r="C2" s="20" t="s">
        <v>702</v>
      </c>
    </row>
    <row r="3" customFormat="false" ht="39.55" hidden="false" customHeight="false" outlineLevel="0" collapsed="false">
      <c r="A3" s="23" t="s">
        <v>703</v>
      </c>
      <c r="B3" s="20" t="s">
        <v>704</v>
      </c>
      <c r="C3" s="20" t="s">
        <v>702</v>
      </c>
    </row>
    <row r="4" customFormat="false" ht="39.55" hidden="false" customHeight="false" outlineLevel="0" collapsed="false">
      <c r="A4" s="23" t="s">
        <v>705</v>
      </c>
      <c r="B4" s="20" t="s">
        <v>706</v>
      </c>
      <c r="C4" s="20" t="s">
        <v>702</v>
      </c>
    </row>
    <row r="5" customFormat="false" ht="39.55" hidden="false" customHeight="false" outlineLevel="0" collapsed="false">
      <c r="A5" s="23" t="s">
        <v>707</v>
      </c>
      <c r="B5" s="20" t="s">
        <v>708</v>
      </c>
      <c r="C5" s="20" t="s">
        <v>702</v>
      </c>
    </row>
    <row r="6" customFormat="false" ht="39.55" hidden="false" customHeight="false" outlineLevel="0" collapsed="false">
      <c r="A6" s="23" t="s">
        <v>709</v>
      </c>
      <c r="B6" s="20" t="s">
        <v>710</v>
      </c>
      <c r="C6" s="20" t="s">
        <v>702</v>
      </c>
    </row>
    <row r="7" customFormat="false" ht="26.85" hidden="false" customHeight="false" outlineLevel="0" collapsed="false">
      <c r="A7" s="23" t="s">
        <v>711</v>
      </c>
      <c r="B7" s="20" t="s">
        <v>712</v>
      </c>
      <c r="C7" s="20" t="s">
        <v>702</v>
      </c>
    </row>
    <row r="8" customFormat="false" ht="26.85" hidden="false" customHeight="false" outlineLevel="0" collapsed="false">
      <c r="A8" s="23" t="s">
        <v>713</v>
      </c>
      <c r="B8" s="20" t="s">
        <v>714</v>
      </c>
      <c r="C8" s="20" t="s">
        <v>702</v>
      </c>
    </row>
    <row r="9" customFormat="false" ht="26.85" hidden="false" customHeight="false" outlineLevel="0" collapsed="false">
      <c r="A9" s="23" t="s">
        <v>715</v>
      </c>
      <c r="B9" s="20" t="s">
        <v>716</v>
      </c>
      <c r="C9" s="20" t="s">
        <v>702</v>
      </c>
    </row>
  </sheetData>
  <hyperlinks>
    <hyperlink ref="A2" r:id="rId1" display="https://exercisemenu.com/7-day-at-home-workout-plan-to-build-muscle/"/>
    <hyperlink ref="A3" r:id="rId2" display="https://exercisemenu.com/3-week-beginner-fat-loss-workout-plan-for-women/"/>
    <hyperlink ref="A4" r:id="rId3" display="https://exercisemenu.com/push-pull-legs-split/"/>
    <hyperlink ref="A5" r:id="rId4" display="https://exercisemenu.com/bowling-workout-routine/"/>
    <hyperlink ref="A6" r:id="rId5" display="https://exercisemenu.com/how-many-reps-and-sets-for-muscle-growth/"/>
    <hyperlink ref="A7" r:id="rId6" display="https://exercisemenu.com/how-many-reps-and-sets-for-muscular-endurance/"/>
    <hyperlink ref="A8" r:id="rId7" display="https://exercisemenu.com/reps-and-sets-for-couples/"/>
    <hyperlink ref="A9" r:id="rId8" display="https://exercisemenu.com/how-to-structure-a-30-minute-workou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2026-10-17T08:54:06Z</dcterms:created>
  <dc:creator>openpyxl</dc:creator>
  <dc:description/>
  <dc:language>en-US</dc:language>
  <cp:lastModifiedBy/>
  <dcterms:modified xsi:type="dcterms:W3CDTF">2026-10-17T08:54:07Z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